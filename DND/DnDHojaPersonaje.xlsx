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basicos" sheetId="1" r:id="rId5"/>
    <sheet state="visible" name="acciones_en_combate" sheetId="2" r:id="rId6"/>
    <sheet state="visible" name="spells_list" sheetId="3" r:id="rId7"/>
    <sheet state="visible" name="status" sheetId="4" r:id="rId8"/>
    <sheet state="visible" name="Hoja1" sheetId="5" r:id="rId9"/>
  </sheets>
  <definedNames>
    <definedName hidden="1" localSheetId="2" name="Z_4839BD52_9FCB_4996_8471_5D164D9582A8_.wvu.FilterData">spells_list!$A$1:$H$55</definedName>
    <definedName hidden="1" localSheetId="2" name="Z_E13A0174_D35A_4EE5_BD31_B0E0BC14C376_.wvu.FilterData">spells_list!$A$1:$E$55</definedName>
  </definedNames>
  <calcPr/>
  <customWorkbookViews>
    <customWorkbookView activeSheetId="0" maximized="1" windowHeight="0" windowWidth="0" guid="{4839BD52-9FCB-4996-8471-5D164D9582A8}" name="Filtro 1"/>
    <customWorkbookView activeSheetId="0" maximized="1" windowHeight="0" windowWidth="0" guid="{E13A0174-D35A-4EE5-BD31-B0E0BC14C376}" name="Filtro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tc={67005009-a843-4723-ac2b-d3b93ab67bbb}</author>
    <author>tc={874b111a-77f5-4dee-8da1-929f4c15836f}</author>
    <author>tc={e1fba277-1df7-4bbb-8345-9a5eec7e9bbb}</author>
    <author>tc={f57eb3d0-3692-4189-b9e2-7ea6dc2d0da6}</author>
  </authors>
  <commentList>
    <comment authorId="0" ref="D20">
      <text>
        <t xml:space="preserve">Paladin Skill</t>
      </text>
    </comment>
    <comment authorId="0" ref="D27">
      <text>
        <t xml:space="preserve">Resilient Feature (nivel 4)</t>
      </text>
    </comment>
    <comment authorId="0" ref="D24">
      <text>
        <t xml:space="preserve">Hermit Skill</t>
      </text>
    </comment>
    <comment authorId="0" ref="D23">
      <text>
        <t xml:space="preserve">Paladin Skill</t>
      </text>
    </comment>
    <comment authorId="0" ref="D22">
      <text>
        <t xml:space="preserve">Hermit Skill</t>
      </text>
    </comment>
    <comment authorId="0" ref="D21">
      <text>
        <t xml:space="preserve">Hermit Skill</t>
      </text>
    </comment>
    <comment authorId="1" xr:uid="{67005009-a843-4723-ac2b-d3b93ab67bbb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Hermit Skill
</t>
      </text>
    </comment>
    <comment authorId="2" xr:uid="{874b111a-77f5-4dee-8da1-929f4c15836f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Hermit Skill
</t>
      </text>
    </comment>
    <comment authorId="3" xr:uid="{e1fba277-1df7-4bbb-8345-9a5eec7e9bbb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Resilient Feature (nivel 4)
</t>
      </text>
    </comment>
    <comment authorId="4" xr:uid="{f57eb3d0-3692-4189-b9e2-7ea6dc2d0da6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Paladin Skill
</t>
      </text>
    </comment>
  </commentList>
</comments>
</file>

<file path=xl/sharedStrings.xml><?xml version="1.0" encoding="utf-8"?>
<sst xmlns="http://schemas.openxmlformats.org/spreadsheetml/2006/main" count="822" uniqueCount="440">
  <si>
    <t>Nombre</t>
  </si>
  <si>
    <t>Charth (Izzard) Dargson</t>
  </si>
  <si>
    <t>Raza</t>
  </si>
  <si>
    <t>Dragonborn</t>
  </si>
  <si>
    <t>Stats</t>
  </si>
  <si>
    <t>Niveles</t>
  </si>
  <si>
    <t>Clase</t>
  </si>
  <si>
    <t>Paladín</t>
  </si>
  <si>
    <t>Herencia</t>
  </si>
  <si>
    <t>Plata (Silver)</t>
  </si>
  <si>
    <t>Cód</t>
  </si>
  <si>
    <t>Modifier</t>
  </si>
  <si>
    <t>Final Score</t>
  </si>
  <si>
    <t>B</t>
  </si>
  <si>
    <t>L1</t>
  </si>
  <si>
    <t>L2</t>
  </si>
  <si>
    <t>Extra</t>
  </si>
  <si>
    <t>Alineamiento</t>
  </si>
  <si>
    <t>Neutral / Bueno</t>
  </si>
  <si>
    <t>Edad</t>
  </si>
  <si>
    <t>STR</t>
  </si>
  <si>
    <t>Peso</t>
  </si>
  <si>
    <t>315lb / 143kg</t>
  </si>
  <si>
    <t>Altura</t>
  </si>
  <si>
    <t>6.56ft / 2m</t>
  </si>
  <si>
    <t>DEX</t>
  </si>
  <si>
    <t>Idiomas</t>
  </si>
  <si>
    <t>Común</t>
  </si>
  <si>
    <t>Draconiano</t>
  </si>
  <si>
    <t>Élfico</t>
  </si>
  <si>
    <t>CON</t>
  </si>
  <si>
    <t>Nivel</t>
  </si>
  <si>
    <t>Proficiencia</t>
  </si>
  <si>
    <t>INT</t>
  </si>
  <si>
    <t>Ioun de Intelecto</t>
  </si>
  <si>
    <t>Hit Dice (x Lvl)</t>
  </si>
  <si>
    <t>Velocidad (ft)</t>
  </si>
  <si>
    <t>WIS</t>
  </si>
  <si>
    <t>Iniciative (DEX)</t>
  </si>
  <si>
    <t>Pass Percep (WIS)</t>
  </si>
  <si>
    <t>CHA</t>
  </si>
  <si>
    <t>Proficiencia, Habilidades y tratos</t>
  </si>
  <si>
    <t>Weapons &amp; Armors</t>
  </si>
  <si>
    <t>All armor, weapons and shields</t>
  </si>
  <si>
    <t>None</t>
  </si>
  <si>
    <t>Attack Twice</t>
  </si>
  <si>
    <t xml:space="preserve">"Atacar" son dos ataques </t>
  </si>
  <si>
    <t>Blacksmith</t>
  </si>
  <si>
    <t>Puede hacer trabajos de Herrería</t>
  </si>
  <si>
    <t># Spell slots</t>
  </si>
  <si>
    <t>Spell Level</t>
  </si>
  <si>
    <t>Max spell lvl
to prepare</t>
  </si>
  <si>
    <t>Feats sugeridos para nivel 8:</t>
  </si>
  <si>
    <t>Savage Attacker</t>
  </si>
  <si>
    <t>Once per turn when you roll damage for a melee weapon attack, you can reroll the weapon's damage dice and use either total.</t>
  </si>
  <si>
    <t>Character Level</t>
  </si>
  <si>
    <t>Skill Expert</t>
  </si>
  <si>
    <t>+1 in one ability, proficiency in one skill and expertise in one other in which you have proficiency (STR, History,Athletics)</t>
  </si>
  <si>
    <t>Heavy Armor Master</t>
  </si>
  <si>
    <t>+1 in Str. and bludgeoning, piercing, and slashing damage are reduced by 3 if you are wearing a heavy armor.</t>
  </si>
  <si>
    <t>Elementos usuales</t>
  </si>
  <si>
    <t>Slasher</t>
  </si>
  <si>
    <t>+1 in Str. or Dex., Per turn: reduce target's speed by 10 ft when you hit (slashing) and if critical target has disadvantage on attacks rolls.</t>
  </si>
  <si>
    <t>Activo (sin tilde las tiene Doby)</t>
  </si>
  <si>
    <t xml:space="preserve">Nombre </t>
  </si>
  <si>
    <t xml:space="preserve">Descripción </t>
  </si>
  <si>
    <t>tipo</t>
  </si>
  <si>
    <t>Tough</t>
  </si>
  <si>
    <t>Add twice your level to the hit point maximum formula.</t>
  </si>
  <si>
    <t>Rencorosa (Longsword)</t>
  </si>
  <si>
    <t>Arma</t>
  </si>
  <si>
    <t>Gift of the Metallic Dragon</t>
  </si>
  <si>
    <t>You can cast cure wounds (1/long rest). As a reaction to an attack, can manifest wings to get + Prof Bonus to your AC per day.</t>
  </si>
  <si>
    <t xml:space="preserve">Greatsword </t>
  </si>
  <si>
    <t>Maul (Martillo 2 manos)</t>
  </si>
  <si>
    <t>Jabalina Relámpago</t>
  </si>
  <si>
    <t>Cegadora (Greataxe)</t>
  </si>
  <si>
    <t>Unarmed Strike/Cuchillo</t>
  </si>
  <si>
    <t>Armadura completa c/cota de malla negra (adamantina)</t>
  </si>
  <si>
    <t>extra: inmune a crítico</t>
  </si>
  <si>
    <t>armadura</t>
  </si>
  <si>
    <t>Escudo</t>
  </si>
  <si>
    <t>+2 en AC</t>
  </si>
  <si>
    <t>Armadura</t>
  </si>
  <si>
    <t>Number of Prepared Spells (CHA)</t>
  </si>
  <si>
    <t>Defense (Fighting Style)</t>
  </si>
  <si>
    <t>+1 en AC</t>
  </si>
  <si>
    <t xml:space="preserve">2 pociones de curación </t>
  </si>
  <si>
    <t>curación</t>
  </si>
  <si>
    <t>kit herbalismo</t>
  </si>
  <si>
    <t xml:space="preserve">curación </t>
  </si>
  <si>
    <t>Martillo de Phandelver</t>
  </si>
  <si>
    <t xml:space="preserve">Herrería </t>
  </si>
  <si>
    <t>Libros de armas</t>
  </si>
  <si>
    <t>Herrería, Herrería mágica y Planos de Jabalina eléctrica</t>
  </si>
  <si>
    <t>2 lingotes negros</t>
  </si>
  <si>
    <t>Adamantina</t>
  </si>
  <si>
    <t>1+5/6 lingotes plateados</t>
  </si>
  <si>
    <t>Mithril</t>
  </si>
  <si>
    <t>kit herrería</t>
  </si>
  <si>
    <t xml:space="preserve">Escamas de crías de dragón blanco </t>
  </si>
  <si>
    <t xml:space="preserve">Escamas antimágicas para herrería mágica </t>
  </si>
  <si>
    <t>2 lingotes de acero</t>
  </si>
  <si>
    <t>1 varilla metálica azul</t>
  </si>
  <si>
    <t>5 cristales de fragua</t>
  </si>
  <si>
    <t>explosivos</t>
  </si>
  <si>
    <t>+2 INT y Codif. Pensamientos</t>
  </si>
  <si>
    <t>Magia</t>
  </si>
  <si>
    <t>Símbolo Sagrado</t>
  </si>
  <si>
    <t>collar canalizado en el escudo</t>
  </si>
  <si>
    <t>Corsel</t>
  </si>
  <si>
    <t>ardilla (Cheap) invocada vía "Find steed"</t>
  </si>
  <si>
    <t>magia</t>
  </si>
  <si>
    <t>Vertebra cervical de gigante</t>
  </si>
  <si>
    <t>Al ser del plano elemental, se pueden escribir runas de gigantes sobre ella</t>
  </si>
  <si>
    <t>Recuerdo de Juramento</t>
  </si>
  <si>
    <t>3 calaveras de Bugbear</t>
  </si>
  <si>
    <t>ornamento</t>
  </si>
  <si>
    <t>Collar de dientes de orco</t>
  </si>
  <si>
    <t>Recompensa por ganarle al jefe de la tribu orca. Sí, son sus dientes. Ahora el nuevo jefe es Don Omar. Brenegar se casó con una orca de esa tribu y vive ahí.</t>
  </si>
  <si>
    <t xml:space="preserve">ornamento </t>
  </si>
  <si>
    <t>Pechera Huguito Herrero</t>
  </si>
  <si>
    <t>Del 47º campeonato</t>
  </si>
  <si>
    <t>kit explorador</t>
  </si>
  <si>
    <t xml:space="preserve">supervivencia </t>
  </si>
  <si>
    <t>Electrum</t>
  </si>
  <si>
    <t>Dinero (1.5 de oro)</t>
  </si>
  <si>
    <t>Polvo de Topasio</t>
  </si>
  <si>
    <t>Jabalina Electrica fallada</t>
  </si>
  <si>
    <t>arma</t>
  </si>
  <si>
    <t>Atlatl</t>
  </si>
  <si>
    <t>Canicas de comunicación</t>
  </si>
  <si>
    <t>contacto y marca de Amadeus Sinclair</t>
  </si>
  <si>
    <t>Ataques especiales y otras acciones</t>
  </si>
  <si>
    <t>Origen</t>
  </si>
  <si>
    <t>Descripción</t>
  </si>
  <si>
    <t>Obtenido en nivel</t>
  </si>
  <si>
    <t>Número de usos</t>
  </si>
  <si>
    <t>Tipo de Acción</t>
  </si>
  <si>
    <t>Alcance</t>
  </si>
  <si>
    <t>Recupera</t>
  </si>
  <si>
    <t>Ataque</t>
  </si>
  <si>
    <t>si es Success ST</t>
  </si>
  <si>
    <t>Daño (según nivel)</t>
  </si>
  <si>
    <t>De raza</t>
  </si>
  <si>
    <t>Breath Weapon</t>
  </si>
  <si>
    <t>Aliento frío</t>
  </si>
  <si>
    <t>Acción</t>
  </si>
  <si>
    <t>15 ft. cone</t>
  </si>
  <si>
    <t>Short/Long Rest</t>
  </si>
  <si>
    <t>(CON) ST - Half damage</t>
  </si>
  <si>
    <t>De clase</t>
  </si>
  <si>
    <t>Divine Sense</t>
  </si>
  <si>
    <t>Olfato que huele maldad, Audición que escucha la bondad. Detect celestial, fiend, or undead not behind total cover, or the presence of place/object consecrated or desecrated, as with the hallow spell.</t>
  </si>
  <si>
    <t>60ft</t>
  </si>
  <si>
    <t>Long Rest</t>
  </si>
  <si>
    <t>Lay on Hands</t>
  </si>
  <si>
    <t>Restore hit points or use 5 hit points to cure disease or poison</t>
  </si>
  <si>
    <t>0ft</t>
  </si>
  <si>
    <t>Channel Divinity</t>
  </si>
  <si>
    <t>Abjure Enemy</t>
  </si>
  <si>
    <t xml:space="preserve">Holy Symbol frightens enemy. Fiends and undead in disadvantages </t>
  </si>
  <si>
    <t>Frightened 1min: 0 speed</t>
  </si>
  <si>
    <t>(WIS) ST - Halved effect</t>
  </si>
  <si>
    <t>Vow of Enmity</t>
  </si>
  <si>
    <t>Ventaja en tiradas de ataque contra el enemigo  por un minuto o KO del enemigo</t>
  </si>
  <si>
    <t>Bonus</t>
  </si>
  <si>
    <t>10ft</t>
  </si>
  <si>
    <t>Oath of Vengaence</t>
  </si>
  <si>
    <t>Relentless Avenger</t>
  </si>
  <si>
    <t>En una ataque de oportunidad efectivo, me puedo mover como parte de la acción</t>
  </si>
  <si>
    <t>1 vez por turno</t>
  </si>
  <si>
    <t>Reacción</t>
  </si>
  <si>
    <t>15ft</t>
  </si>
  <si>
    <t>Sin descanso</t>
  </si>
  <si>
    <t>Fuerza</t>
  </si>
  <si>
    <t>Modificador de Ataque</t>
  </si>
  <si>
    <t>Cantidad de Ataques</t>
  </si>
  <si>
    <t>Tipos de ataque</t>
  </si>
  <si>
    <t>Tirada Ataque</t>
  </si>
  <si>
    <t>Daño (+ Fuerza)</t>
  </si>
  <si>
    <t>Tipo ataque</t>
  </si>
  <si>
    <t>Rango</t>
  </si>
  <si>
    <t>Bludgeoning/Piercing</t>
  </si>
  <si>
    <t>Melee</t>
  </si>
  <si>
    <t>Cuchillo</t>
  </si>
  <si>
    <t>Piercing</t>
  </si>
  <si>
    <t>Melee (lanzable)</t>
  </si>
  <si>
    <t>Dagger</t>
  </si>
  <si>
    <t>Longsword</t>
  </si>
  <si>
    <t>Slashing</t>
  </si>
  <si>
    <t>Greatsword</t>
  </si>
  <si>
    <t>Bludgeoning</t>
  </si>
  <si>
    <t>Lo que mata no se puede revivir.
2do ataque en turno con desventaja</t>
  </si>
  <si>
    <t>Daño extra (#fallos)d4.
Extensible a 10ft después de fallo</t>
  </si>
  <si>
    <t>Jabalina</t>
  </si>
  <si>
    <t>Jabalína Relámpago</t>
  </si>
  <si>
    <t>Piercing, Lightning</t>
  </si>
  <si>
    <t>Jabalina con daño de electricidad.
Hace un trueno al ser lanzada</t>
  </si>
  <si>
    <t>saca chispas al querer activarla</t>
  </si>
  <si>
    <t>Duplica lanzamiento de Jabalina</t>
  </si>
  <si>
    <t>Ballesta</t>
  </si>
  <si>
    <t>Charisma</t>
  </si>
  <si>
    <t>Spell Attack Modifier</t>
  </si>
  <si>
    <t>Spell save DC</t>
  </si>
  <si>
    <t>Always Ready Spells</t>
  </si>
  <si>
    <t>Description</t>
  </si>
  <si>
    <t>Damage</t>
  </si>
  <si>
    <t>Divine Smite</t>
  </si>
  <si>
    <t>Extra Radiant Damage when you hit melee</t>
  </si>
  <si>
    <t>min(5,Spell Lvl+1)d8</t>
  </si>
  <si>
    <t>+1d8 if undead</t>
  </si>
  <si>
    <t>Bane</t>
  </si>
  <si>
    <t>Hunter's Mark</t>
  </si>
  <si>
    <t>Hold Person</t>
  </si>
  <si>
    <t>Misty Step</t>
  </si>
  <si>
    <t>Haste</t>
  </si>
  <si>
    <t>Protection from energy</t>
  </si>
  <si>
    <t>Banishment</t>
  </si>
  <si>
    <t>Dimension Floor</t>
  </si>
  <si>
    <t>Hold monster</t>
  </si>
  <si>
    <t>Scrying</t>
  </si>
  <si>
    <t>Casting Time</t>
  </si>
  <si>
    <t>Range</t>
  </si>
  <si>
    <t>Duration</t>
  </si>
  <si>
    <t>Bless</t>
  </si>
  <si>
    <t>DIvine Favor</t>
  </si>
  <si>
    <t>Thunderous Smite</t>
  </si>
  <si>
    <t>Find Steed</t>
  </si>
  <si>
    <t>Compelled Duel</t>
  </si>
  <si>
    <t>Prepared</t>
  </si>
  <si>
    <t>Spell Name</t>
  </si>
  <si>
    <t>Level</t>
  </si>
  <si>
    <t>Components</t>
  </si>
  <si>
    <t>School</t>
  </si>
  <si>
    <t>1 Action</t>
  </si>
  <si>
    <t>30 feet</t>
  </si>
  <si>
    <t>Concentration, up to 1 minute</t>
  </si>
  <si>
    <t>V, S, M</t>
  </si>
  <si>
    <t>Enchantment</t>
  </si>
  <si>
    <t>Ceremony</t>
  </si>
  <si>
    <t>1 Action R</t>
  </si>
  <si>
    <t>Touch</t>
  </si>
  <si>
    <t>Instantaneous</t>
  </si>
  <si>
    <t>Evocation</t>
  </si>
  <si>
    <t>Command</t>
  </si>
  <si>
    <t>60 feet</t>
  </si>
  <si>
    <t>1 round</t>
  </si>
  <si>
    <t>V</t>
  </si>
  <si>
    <t>1 Bonus Action</t>
  </si>
  <si>
    <t>Cure Wounds</t>
  </si>
  <si>
    <t>V, S</t>
  </si>
  <si>
    <t>Detect Evil and Good</t>
  </si>
  <si>
    <t>Self</t>
  </si>
  <si>
    <t>Concentration, up to 10 minutes</t>
  </si>
  <si>
    <t>Divination</t>
  </si>
  <si>
    <t>Detect Magic</t>
  </si>
  <si>
    <t>Detect Poison and Disease</t>
  </si>
  <si>
    <t>Divine Favor</t>
  </si>
  <si>
    <t>Heroism</t>
  </si>
  <si>
    <t>Protection from Evil and Good</t>
  </si>
  <si>
    <t>Abjuration</t>
  </si>
  <si>
    <t>Purify Food and Drink</t>
  </si>
  <si>
    <t>10 feet</t>
  </si>
  <si>
    <t>Transmutation</t>
  </si>
  <si>
    <t>Searing Smite</t>
  </si>
  <si>
    <t>Shield of Faith</t>
  </si>
  <si>
    <t>Wrathful Smite</t>
  </si>
  <si>
    <t>Aid</t>
  </si>
  <si>
    <t>30 Feet</t>
  </si>
  <si>
    <t>8 hours</t>
  </si>
  <si>
    <t>Branding Smite</t>
  </si>
  <si>
    <t>10 Minutes</t>
  </si>
  <si>
    <t>Conjuration</t>
  </si>
  <si>
    <t>Find Vehicle (UA)</t>
  </si>
  <si>
    <t>Conjuration T</t>
  </si>
  <si>
    <t>Gentle Repose</t>
  </si>
  <si>
    <t>10 days</t>
  </si>
  <si>
    <t>Necromancy</t>
  </si>
  <si>
    <t>Lesser Restoration</t>
  </si>
  <si>
    <t>Locate Object</t>
  </si>
  <si>
    <t>Magic Weapon</t>
  </si>
  <si>
    <t>Concentration, up to 1 hour</t>
  </si>
  <si>
    <t>Prayer of Healing</t>
  </si>
  <si>
    <t>Protection from Poison</t>
  </si>
  <si>
    <t>1 hour</t>
  </si>
  <si>
    <t>Warding Bond</t>
  </si>
  <si>
    <t>Zone of Truth</t>
  </si>
  <si>
    <t>10 minutes</t>
  </si>
  <si>
    <t>Aura of Vitality</t>
  </si>
  <si>
    <t>Self (30-foot radius)</t>
  </si>
  <si>
    <t>Blinding Smite</t>
  </si>
  <si>
    <t>Create Food and Water</t>
  </si>
  <si>
    <t>Crusader's Mantle</t>
  </si>
  <si>
    <t>Daylight</t>
  </si>
  <si>
    <t>Dispel Magic</t>
  </si>
  <si>
    <t>120 feet</t>
  </si>
  <si>
    <t>Elemental Weapon</t>
  </si>
  <si>
    <t>Magic Circle</t>
  </si>
  <si>
    <t>1 Minute</t>
  </si>
  <si>
    <t>Remove Curse</t>
  </si>
  <si>
    <t>Revivify</t>
  </si>
  <si>
    <t>Spirit Shroud</t>
  </si>
  <si>
    <t>Aura of Life</t>
  </si>
  <si>
    <t>Aura of Purity</t>
  </si>
  <si>
    <t>Concentration, up to 1 minutes</t>
  </si>
  <si>
    <t>Death Ward</t>
  </si>
  <si>
    <t>Find Greater Steed</t>
  </si>
  <si>
    <t>Locate Creature</t>
  </si>
  <si>
    <t>Staggering Smite</t>
  </si>
  <si>
    <t>Banishing Smite</t>
  </si>
  <si>
    <t>Circle of Power</t>
  </si>
  <si>
    <t>Destructive Wave</t>
  </si>
  <si>
    <t>Dispel Evil and Good</t>
  </si>
  <si>
    <t>Geas</t>
  </si>
  <si>
    <t>30 days</t>
  </si>
  <si>
    <t>Holy Weapon</t>
  </si>
  <si>
    <t>Raise Dead</t>
  </si>
  <si>
    <t>Summon Celestial</t>
  </si>
  <si>
    <t>90 feet</t>
  </si>
  <si>
    <t>Hit Points</t>
  </si>
  <si>
    <t>Reencorosa</t>
  </si>
  <si>
    <t>Spell Slot Lvl</t>
  </si>
  <si>
    <t># Spell Lvl1</t>
  </si>
  <si>
    <t># Spell Lvl2</t>
  </si>
  <si>
    <t># Spell Lvl3</t>
  </si>
  <si>
    <t># Spell Lvl4</t>
  </si>
  <si>
    <t># Spell Lvl5</t>
  </si>
  <si>
    <t>Usado?</t>
  </si>
  <si>
    <t>Hit Points Dyn</t>
  </si>
  <si>
    <t>Usados</t>
  </si>
  <si>
    <t>AC</t>
  </si>
  <si>
    <t>Activo</t>
  </si>
  <si>
    <t>Activa</t>
  </si>
  <si>
    <t>Siempre Activo</t>
  </si>
  <si>
    <t>Desde nivel</t>
  </si>
  <si>
    <t>Resistencia al Frío</t>
  </si>
  <si>
    <t>Race trait</t>
  </si>
  <si>
    <t>-3 for bludgeoning, piercing, slashing damage with heavy armor.</t>
  </si>
  <si>
    <t>Inmune to disease</t>
  </si>
  <si>
    <t>Divine Health</t>
  </si>
  <si>
    <t>Desventaja en sigilo</t>
  </si>
  <si>
    <t>Armadura pesada</t>
  </si>
  <si>
    <t>ST de Aliade a 10ft + CHA bonus</t>
  </si>
  <si>
    <t>Aura of Protection</t>
  </si>
  <si>
    <t>Saving Throw</t>
  </si>
  <si>
    <t>Proficient</t>
  </si>
  <si>
    <t>Athletics</t>
  </si>
  <si>
    <t>Religion</t>
  </si>
  <si>
    <t>Medicine</t>
  </si>
  <si>
    <t>Intimidation</t>
  </si>
  <si>
    <t>Thousand Year War (Dragons vs GIants)</t>
  </si>
  <si>
    <t>Raza:</t>
  </si>
  <si>
    <t>Lenguas:</t>
  </si>
  <si>
    <t>Edad:</t>
  </si>
  <si>
    <t>Atributo</t>
  </si>
  <si>
    <t>Valor</t>
  </si>
  <si>
    <t>Mod</t>
  </si>
  <si>
    <t>Salv</t>
  </si>
  <si>
    <t>Habilidades</t>
  </si>
  <si>
    <t>Exp</t>
  </si>
  <si>
    <t>Niveles:</t>
  </si>
  <si>
    <t>O</t>
  </si>
  <si>
    <t>O Atletismo</t>
  </si>
  <si>
    <t>Destreza</t>
  </si>
  <si>
    <t>O Acrobacias</t>
  </si>
  <si>
    <t>O Juegos de Manos</t>
  </si>
  <si>
    <t>O Sigilo</t>
  </si>
  <si>
    <t>Proficiencia:</t>
  </si>
  <si>
    <t>Constitución</t>
  </si>
  <si>
    <t>Inteligencia</t>
  </si>
  <si>
    <t>O Arcano</t>
  </si>
  <si>
    <t>Base</t>
  </si>
  <si>
    <t>Actual</t>
  </si>
  <si>
    <t>Temp</t>
  </si>
  <si>
    <t>O Historia</t>
  </si>
  <si>
    <t>PV:</t>
  </si>
  <si>
    <t>O Investigación</t>
  </si>
  <si>
    <t>HD:</t>
  </si>
  <si>
    <t>O Naturaleza</t>
  </si>
  <si>
    <t>Iniciativa:</t>
  </si>
  <si>
    <t>O Religión</t>
  </si>
  <si>
    <t>Velocidad:</t>
  </si>
  <si>
    <t>Sabiduría</t>
  </si>
  <si>
    <t>O Trato con animales</t>
  </si>
  <si>
    <t>Clase de Armadura</t>
  </si>
  <si>
    <t>O Introspección</t>
  </si>
  <si>
    <t>Total:</t>
  </si>
  <si>
    <t>O Medicina</t>
  </si>
  <si>
    <t>Armadura:</t>
  </si>
  <si>
    <t>O Percepción</t>
  </si>
  <si>
    <t>Destreza:</t>
  </si>
  <si>
    <t>O Supervivencia</t>
  </si>
  <si>
    <t>Escudo:</t>
  </si>
  <si>
    <t>Carisma</t>
  </si>
  <si>
    <t>O Engaño</t>
  </si>
  <si>
    <t>Otros:</t>
  </si>
  <si>
    <t>O Intimidación</t>
  </si>
  <si>
    <t>O Performance</t>
  </si>
  <si>
    <t>Oro</t>
  </si>
  <si>
    <t>Plata</t>
  </si>
  <si>
    <t>Cobre</t>
  </si>
  <si>
    <t>O Persuasión</t>
  </si>
  <si>
    <t>Monedas:</t>
  </si>
  <si>
    <t>Ataques frecuentes</t>
  </si>
  <si>
    <t>Arma - Conjuro</t>
  </si>
  <si>
    <t>Daño</t>
  </si>
  <si>
    <t>Extras</t>
  </si>
  <si>
    <t>1.</t>
  </si>
  <si>
    <t>2.</t>
  </si>
  <si>
    <t>3.</t>
  </si>
  <si>
    <t>4.</t>
  </si>
  <si>
    <t>Lanzamiento de conjuros</t>
  </si>
  <si>
    <t>Ataque:</t>
  </si>
  <si>
    <t>Dif:</t>
  </si>
  <si>
    <t>Slots</t>
  </si>
  <si>
    <t>Max</t>
  </si>
  <si>
    <t>Used</t>
  </si>
  <si>
    <t>Disponibles</t>
  </si>
  <si>
    <t>Mochila</t>
  </si>
  <si>
    <t>Fórmulas</t>
  </si>
  <si>
    <t>Item</t>
  </si>
  <si>
    <t>Uso</t>
  </si>
  <si>
    <t>Fórmula</t>
  </si>
  <si>
    <t>Modificador Atributo</t>
  </si>
  <si>
    <t>PISO((Valor - 10) / 2)</t>
  </si>
  <si>
    <t>Salvación Atributo</t>
  </si>
  <si>
    <t>Mod (+ Proficiencia)</t>
  </si>
  <si>
    <t>Expertise</t>
  </si>
  <si>
    <t>Mod + (Proficiencia * 2)</t>
  </si>
  <si>
    <t>PV Base</t>
  </si>
  <si>
    <t>Max(Dado) + Con + ((Avg(Dado) + Con) * (Nivel - 1))</t>
  </si>
  <si>
    <t>Iniciativa</t>
  </si>
  <si>
    <t>Destreza (+ Dote)</t>
  </si>
  <si>
    <t>Atributo + Proficiencia + Arma + Otros</t>
  </si>
  <si>
    <t>Tirada conjuros</t>
  </si>
  <si>
    <t>(INT-SAB-CAR) + Proficiencia + Otros</t>
  </si>
  <si>
    <t>Dificultad conjuro</t>
  </si>
  <si>
    <t>8 + Proficiencia + (INT-SAB-CAR)</t>
  </si>
  <si>
    <t>Rasgos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</si>
</sst>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color theme="1"/>
      <name val="Calibri"/>
      <scheme val="minor"/>
    </font>
    <font/>
    <font>
      <color rgb="FFFFFFFF"/>
      <name val="Calibri"/>
      <scheme val="minor"/>
    </font>
    <font>
      <sz val="11.0"/>
      <color theme="1"/>
      <name val="Calibri"/>
    </font>
    <font>
      <strike/>
      <color theme="1"/>
      <name val="Calibri"/>
      <scheme val="minor"/>
    </font>
    <font>
      <b/>
      <color theme="1"/>
      <name val="Calibri"/>
      <scheme val="minor"/>
    </font>
    <font>
      <color rgb="FFCCCCCC"/>
      <name val="Calibri"/>
      <scheme val="minor"/>
    </font>
    <font>
      <sz val="11.0"/>
      <color rgb="FF000000"/>
      <name val="&quot;Google Sans&quot;"/>
    </font>
    <font>
      <b/>
      <sz val="11.0"/>
      <color rgb="FFECE9E4"/>
      <name val="&quot;Helvetica Neue&quot;"/>
    </font>
    <font>
      <u/>
      <sz val="11.0"/>
      <color rgb="FF908149"/>
      <name val="&quot;Helvetica Neue&quot;"/>
    </font>
    <font>
      <sz val="11.0"/>
      <color rgb="FF333333"/>
      <name val="&quot;Helvetica Neue&quot;"/>
    </font>
    <font>
      <u/>
      <sz val="11.0"/>
      <color rgb="FF908149"/>
      <name val="&quot;Helvetica Neue&quot;"/>
    </font>
    <font>
      <b/>
      <sz val="16.0"/>
      <color rgb="FFFFFFFF"/>
      <name val="Calibri"/>
      <scheme val="minor"/>
    </font>
    <font>
      <sz val="16.0"/>
      <color rgb="FFFFFFFF"/>
      <name val="Calibri"/>
      <scheme val="minor"/>
    </font>
    <font>
      <sz val="16.0"/>
      <color theme="1"/>
      <name val="Calibri"/>
      <scheme val="minor"/>
    </font>
    <font>
      <b/>
      <color rgb="FFFFFFFF"/>
      <name val="Calibri"/>
      <scheme val="minor"/>
    </font>
    <font>
      <b/>
      <sz val="16.0"/>
      <color rgb="FF000000"/>
      <name val="Calibri"/>
      <scheme val="minor"/>
    </font>
    <font>
      <b/>
      <sz val="11.0"/>
      <color theme="1"/>
      <name val="Calibri"/>
      <scheme val="minor"/>
    </font>
    <font>
      <sz val="8.0"/>
      <color theme="1"/>
      <name val="Calibri"/>
    </font>
    <font>
      <b/>
      <sz val="8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4A7D6"/>
        <bgColor rgb="FFB4A7D6"/>
      </patternFill>
    </fill>
    <fill>
      <patternFill patternType="solid">
        <fgColor rgb="FF908149"/>
        <bgColor rgb="FF908149"/>
      </patternFill>
    </fill>
    <fill>
      <patternFill patternType="solid">
        <fgColor rgb="FFFFFFFF"/>
        <bgColor rgb="FFFFFFFF"/>
      </patternFill>
    </fill>
  </fills>
  <borders count="8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2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0" fillId="0" fontId="1" numFmtId="0" xfId="0" applyFont="1"/>
    <xf borderId="12" fillId="0" fontId="1" numFmtId="0" xfId="0" applyBorder="1" applyFont="1"/>
    <xf borderId="1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2" fillId="0" fontId="1" numFmtId="0" xfId="0" applyAlignment="1" applyBorder="1" applyFont="1">
      <alignment readingOrder="0"/>
    </xf>
    <xf borderId="11" fillId="0" fontId="1" numFmtId="0" xfId="0" applyBorder="1" applyFont="1"/>
    <xf borderId="4" fillId="2" fontId="1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2" fillId="3" fontId="3" numFmtId="0" xfId="0" applyAlignment="1" applyBorder="1" applyFont="1">
      <alignment readingOrder="0"/>
    </xf>
    <xf borderId="3" fillId="0" fontId="1" numFmtId="0" xfId="0" applyBorder="1" applyFont="1"/>
    <xf borderId="13" fillId="3" fontId="3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6" fillId="0" fontId="1" numFmtId="0" xfId="0" applyBorder="1" applyFont="1"/>
    <xf borderId="9" fillId="0" fontId="1" numFmtId="0" xfId="0" applyBorder="1" applyFont="1"/>
    <xf borderId="14" fillId="0" fontId="1" numFmtId="0" xfId="0" applyAlignment="1" applyBorder="1" applyFont="1">
      <alignment readingOrder="0"/>
    </xf>
    <xf borderId="8" fillId="0" fontId="1" numFmtId="0" xfId="0" applyBorder="1" applyFont="1"/>
    <xf borderId="7" fillId="0" fontId="1" numFmtId="0" xfId="0" applyAlignment="1" applyBorder="1" applyFont="1">
      <alignment readingOrder="0"/>
    </xf>
    <xf borderId="14" fillId="0" fontId="1" numFmtId="0" xfId="0" applyBorder="1" applyFont="1"/>
    <xf borderId="1" fillId="3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13" fillId="2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2" fillId="0" fontId="4" numFmtId="0" xfId="0" applyAlignment="1" applyBorder="1" applyFont="1">
      <alignment vertical="bottom"/>
    </xf>
    <xf borderId="13" fillId="2" fontId="1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3" fillId="0" fontId="2" numFmtId="0" xfId="0" applyBorder="1" applyFont="1"/>
    <xf borderId="7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5" numFmtId="0" xfId="0" applyAlignment="1" applyFont="1">
      <alignment readingOrder="0"/>
    </xf>
    <xf borderId="1" fillId="3" fontId="3" numFmtId="0" xfId="0" applyAlignment="1" applyBorder="1" applyFont="1">
      <alignment horizontal="center" readingOrder="0" textRotation="90" vertical="center"/>
    </xf>
    <xf borderId="3" fillId="2" fontId="1" numFmtId="3" xfId="0" applyAlignment="1" applyBorder="1" applyFont="1" applyNumberFormat="1">
      <alignment readingOrder="0"/>
    </xf>
    <xf borderId="0" fillId="2" fontId="1" numFmtId="3" xfId="0" applyAlignment="1" applyFont="1" applyNumberFormat="1">
      <alignment readingOrder="0"/>
    </xf>
    <xf borderId="12" fillId="2" fontId="1" numFmtId="3" xfId="0" applyAlignment="1" applyBorder="1" applyFont="1" applyNumberFormat="1">
      <alignment readingOrder="0"/>
    </xf>
    <xf borderId="13" fillId="2" fontId="1" numFmtId="3" xfId="0" applyBorder="1" applyFont="1" applyNumberFormat="1"/>
    <xf borderId="12" fillId="0" fontId="2" numFmtId="0" xfId="0" applyBorder="1" applyFont="1"/>
    <xf quotePrefix="1"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Font="1"/>
    <xf borderId="12" fillId="2" fontId="1" numFmtId="3" xfId="0" applyAlignment="1" applyBorder="1" applyFont="1" applyNumberFormat="1">
      <alignment horizontal="right" readingOrder="0"/>
    </xf>
    <xf borderId="0" fillId="2" fontId="1" numFmtId="0" xfId="0" applyAlignment="1" applyFont="1">
      <alignment readingOrder="0"/>
    </xf>
    <xf borderId="12" fillId="4" fontId="1" numFmtId="3" xfId="0" applyAlignment="1" applyBorder="1" applyFill="1" applyFont="1" applyNumberFormat="1">
      <alignment horizontal="right" readingOrder="0"/>
    </xf>
    <xf borderId="0" fillId="4" fontId="1" numFmtId="3" xfId="0" applyAlignment="1" applyFont="1" applyNumberFormat="1">
      <alignment readingOrder="0"/>
    </xf>
    <xf borderId="12" fillId="4" fontId="1" numFmtId="3" xfId="0" applyAlignment="1" applyBorder="1" applyFont="1" applyNumberFormat="1">
      <alignment readingOrder="0"/>
    </xf>
    <xf borderId="13" fillId="4" fontId="1" numFmtId="3" xfId="0" applyBorder="1" applyFont="1" applyNumberFormat="1"/>
    <xf borderId="12" fillId="0" fontId="1" numFmtId="3" xfId="0" applyAlignment="1" applyBorder="1" applyFont="1" applyNumberFormat="1">
      <alignment horizontal="right" readingOrder="0"/>
    </xf>
    <xf borderId="0" fillId="0" fontId="1" numFmtId="3" xfId="0" applyAlignment="1" applyFont="1" applyNumberFormat="1">
      <alignment readingOrder="0"/>
    </xf>
    <xf borderId="12" fillId="0" fontId="1" numFmtId="3" xfId="0" applyAlignment="1" applyBorder="1" applyFont="1" applyNumberFormat="1">
      <alignment readingOrder="0"/>
    </xf>
    <xf borderId="13" fillId="0" fontId="1" numFmtId="3" xfId="0" applyBorder="1" applyFont="1" applyNumberFormat="1"/>
    <xf borderId="9" fillId="0" fontId="1" numFmtId="3" xfId="0" applyAlignment="1" applyBorder="1" applyFont="1" applyNumberFormat="1">
      <alignment horizontal="right" readingOrder="0"/>
    </xf>
    <xf borderId="8" fillId="0" fontId="1" numFmtId="3" xfId="0" applyAlignment="1" applyBorder="1" applyFont="1" applyNumberFormat="1">
      <alignment readingOrder="0"/>
    </xf>
    <xf borderId="9" fillId="0" fontId="1" numFmtId="3" xfId="0" applyAlignment="1" applyBorder="1" applyFont="1" applyNumberFormat="1">
      <alignment readingOrder="0"/>
    </xf>
    <xf borderId="7" fillId="0" fontId="1" numFmtId="3" xfId="0" applyBorder="1" applyFont="1" applyNumberFormat="1"/>
    <xf borderId="0" fillId="3" fontId="3" numFmtId="0" xfId="0" applyAlignment="1" applyFont="1">
      <alignment readingOrder="0"/>
    </xf>
    <xf borderId="2" fillId="2" fontId="1" numFmtId="0" xfId="0" applyBorder="1" applyFont="1"/>
    <xf borderId="3" fillId="2" fontId="1" numFmtId="0" xfId="0" applyBorder="1" applyFont="1"/>
    <xf borderId="12" fillId="3" fontId="3" numFmtId="0" xfId="0" applyAlignment="1" applyBorder="1" applyFont="1">
      <alignment readingOrder="0"/>
    </xf>
    <xf quotePrefix="1" borderId="12" fillId="0" fontId="1" numFmtId="0" xfId="0" applyAlignment="1" applyBorder="1" applyFont="1">
      <alignment readingOrder="0"/>
    </xf>
    <xf borderId="13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  <xf borderId="0" fillId="5" fontId="9" numFmtId="0" xfId="0" applyAlignment="1" applyFill="1" applyFont="1">
      <alignment horizontal="left" readingOrder="0" vertical="top"/>
    </xf>
    <xf borderId="0" fillId="0" fontId="10" numFmtId="0" xfId="0" applyAlignment="1" applyFont="1">
      <alignment readingOrder="0" vertical="top"/>
    </xf>
    <xf borderId="0" fillId="6" fontId="11" numFmtId="0" xfId="0" applyAlignment="1" applyFill="1" applyFont="1">
      <alignment readingOrder="0" vertical="top"/>
    </xf>
    <xf borderId="0" fillId="0" fontId="12" numFmtId="0" xfId="0" applyAlignment="1" applyFont="1">
      <alignment readingOrder="0" vertical="top"/>
    </xf>
    <xf borderId="1" fillId="3" fontId="13" numFmtId="0" xfId="0" applyAlignment="1" applyBorder="1" applyFont="1">
      <alignment horizontal="center" readingOrder="0"/>
    </xf>
    <xf borderId="2" fillId="3" fontId="14" numFmtId="0" xfId="0" applyAlignment="1" applyBorder="1" applyFont="1">
      <alignment horizontal="center" readingOrder="0"/>
    </xf>
    <xf borderId="3" fillId="3" fontId="14" numFmtId="0" xfId="0" applyAlignment="1" applyBorder="1" applyFont="1">
      <alignment horizontal="center" readingOrder="0"/>
    </xf>
    <xf borderId="15" fillId="3" fontId="14" numFmtId="0" xfId="0" applyAlignment="1" applyBorder="1" applyFont="1">
      <alignment horizontal="center" readingOrder="0"/>
    </xf>
    <xf borderId="1" fillId="3" fontId="14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/>
    </xf>
    <xf borderId="12" fillId="2" fontId="15" numFmtId="0" xfId="0" applyAlignment="1" applyBorder="1" applyFont="1">
      <alignment horizontal="center"/>
    </xf>
    <xf borderId="0" fillId="2" fontId="15" numFmtId="0" xfId="0" applyAlignment="1" applyFont="1">
      <alignment horizontal="center" readingOrder="0"/>
    </xf>
    <xf borderId="12" fillId="2" fontId="15" numFmtId="0" xfId="0" applyAlignment="1" applyBorder="1" applyFont="1">
      <alignment horizontal="center" readingOrder="0"/>
    </xf>
    <xf borderId="11" fillId="2" fontId="15" numFmtId="0" xfId="0" applyAlignment="1" applyBorder="1" applyFont="1">
      <alignment horizontal="center"/>
    </xf>
    <xf borderId="13" fillId="2" fontId="15" numFmtId="3" xfId="0" applyAlignment="1" applyBorder="1" applyFont="1" applyNumberFormat="1">
      <alignment horizontal="center"/>
    </xf>
    <xf borderId="0" fillId="2" fontId="15" numFmtId="3" xfId="0" applyAlignment="1" applyFont="1" applyNumberFormat="1">
      <alignment horizontal="center"/>
    </xf>
    <xf borderId="0" fillId="2" fontId="15" numFmtId="3" xfId="0" applyFont="1" applyNumberFormat="1"/>
    <xf borderId="12" fillId="2" fontId="15" numFmtId="3" xfId="0" applyBorder="1" applyFont="1" applyNumberFormat="1"/>
    <xf borderId="0" fillId="0" fontId="15" numFmtId="0" xfId="0" applyFont="1"/>
    <xf borderId="9" fillId="3" fontId="16" numFmtId="0" xfId="0" applyAlignment="1" applyBorder="1" applyFont="1">
      <alignment readingOrder="0"/>
    </xf>
    <xf borderId="9" fillId="0" fontId="15" numFmtId="0" xfId="0" applyAlignment="1" applyBorder="1" applyFont="1">
      <alignment horizontal="center" readingOrder="0"/>
    </xf>
    <xf borderId="14" fillId="0" fontId="15" numFmtId="0" xfId="0" applyAlignment="1" applyBorder="1" applyFont="1">
      <alignment horizontal="center" readingOrder="0"/>
    </xf>
    <xf borderId="7" fillId="2" fontId="15" numFmtId="0" xfId="0" applyAlignment="1" applyBorder="1" applyFont="1">
      <alignment horizontal="center" readingOrder="0"/>
    </xf>
    <xf borderId="8" fillId="0" fontId="15" numFmtId="0" xfId="0" applyAlignment="1" applyBorder="1" applyFont="1">
      <alignment horizontal="center" readingOrder="0"/>
    </xf>
    <xf borderId="8" fillId="0" fontId="15" numFmtId="0" xfId="0" applyAlignment="1" applyBorder="1" applyFont="1">
      <alignment horizontal="center"/>
    </xf>
    <xf borderId="9" fillId="0" fontId="15" numFmtId="0" xfId="0" applyAlignment="1" applyBorder="1" applyFont="1">
      <alignment horizontal="center"/>
    </xf>
    <xf borderId="2" fillId="2" fontId="17" numFmtId="0" xfId="0" applyAlignment="1" applyBorder="1" applyFont="1">
      <alignment horizontal="center" readingOrder="0"/>
    </xf>
    <xf borderId="3" fillId="2" fontId="17" numFmtId="0" xfId="0" applyAlignment="1" applyBorder="1" applyFont="1">
      <alignment horizontal="center" readingOrder="0"/>
    </xf>
    <xf borderId="3" fillId="2" fontId="1" numFmtId="0" xfId="0" applyAlignment="1" applyBorder="1" applyFont="1">
      <alignment readingOrder="0"/>
    </xf>
    <xf borderId="1" fillId="0" fontId="18" numFmtId="0" xfId="0" applyAlignment="1" applyBorder="1" applyFont="1">
      <alignment readingOrder="0"/>
    </xf>
    <xf borderId="2" fillId="0" fontId="18" numFmtId="0" xfId="0" applyAlignment="1" applyBorder="1" applyFont="1">
      <alignment readingOrder="0"/>
    </xf>
    <xf borderId="2" fillId="0" fontId="18" numFmtId="0" xfId="0" applyBorder="1" applyFont="1"/>
    <xf borderId="3" fillId="0" fontId="18" numFmtId="0" xfId="0" applyBorder="1" applyFont="1"/>
    <xf borderId="13" fillId="0" fontId="1" numFmtId="0" xfId="0" applyBorder="1" applyFont="1"/>
    <xf borderId="12" fillId="2" fontId="1" numFmtId="0" xfId="0" applyAlignment="1" applyBorder="1" applyFont="1">
      <alignment readingOrder="0"/>
    </xf>
    <xf borderId="7" fillId="0" fontId="1" numFmtId="0" xfId="0" applyBorder="1" applyFont="1"/>
    <xf borderId="0" fillId="3" fontId="14" numFmtId="0" xfId="0" applyAlignment="1" applyFont="1">
      <alignment horizontal="center"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19" numFmtId="0" xfId="0" applyAlignment="1" applyBorder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0" fillId="0" fontId="19" numFmtId="0" xfId="0" applyFont="1"/>
    <xf borderId="22" fillId="0" fontId="20" numFmtId="0" xfId="0" applyAlignment="1" applyBorder="1" applyFont="1">
      <alignment horizontal="right"/>
    </xf>
    <xf borderId="23" fillId="0" fontId="2" numFmtId="0" xfId="0" applyBorder="1" applyFont="1"/>
    <xf borderId="24" fillId="0" fontId="19" numFmtId="0" xfId="0" applyAlignment="1" applyBorder="1" applyFont="1">
      <alignment horizontal="center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0" numFmtId="0" xfId="0" applyAlignment="1" applyBorder="1" applyFont="1">
      <alignment horizontal="right"/>
    </xf>
    <xf borderId="4" fillId="0" fontId="19" numFmtId="0" xfId="0" applyAlignment="1" applyBorder="1" applyFont="1">
      <alignment horizontal="center"/>
    </xf>
    <xf borderId="31" fillId="0" fontId="2" numFmtId="0" xfId="0" applyBorder="1" applyFont="1"/>
    <xf borderId="22" fillId="0" fontId="20" numFmtId="0" xfId="0" applyAlignment="1" applyBorder="1" applyFont="1">
      <alignment horizontal="center" vertical="center"/>
    </xf>
    <xf borderId="32" fillId="0" fontId="20" numFmtId="0" xfId="0" applyAlignment="1" applyBorder="1" applyFont="1">
      <alignment horizontal="center" vertical="center"/>
    </xf>
    <xf borderId="24" fillId="0" fontId="20" numFmtId="0" xfId="0" applyAlignment="1" applyBorder="1" applyFont="1">
      <alignment horizontal="center" vertical="center"/>
    </xf>
    <xf borderId="33" fillId="0" fontId="20" numFmtId="0" xfId="0" applyAlignment="1" applyBorder="1" applyFont="1">
      <alignment horizontal="center" vertical="center"/>
    </xf>
    <xf borderId="34" fillId="0" fontId="20" numFmtId="0" xfId="0" applyAlignment="1" applyBorder="1" applyFont="1">
      <alignment horizontal="right"/>
    </xf>
    <xf borderId="35" fillId="0" fontId="2" numFmtId="0" xfId="0" applyBorder="1" applyFont="1"/>
    <xf borderId="36" fillId="0" fontId="19" numFmtId="0" xfId="0" applyAlignment="1" applyBorder="1" applyFont="1">
      <alignment horizontal="center"/>
    </xf>
    <xf borderId="37" fillId="0" fontId="2" numFmtId="0" xfId="0" applyBorder="1" applyFont="1"/>
    <xf borderId="38" fillId="0" fontId="2" numFmtId="0" xfId="0" applyBorder="1" applyFont="1"/>
    <xf borderId="30" fillId="0" fontId="19" numFmtId="0" xfId="0" applyAlignment="1" applyBorder="1" applyFont="1">
      <alignment horizontal="center" vertical="center"/>
    </xf>
    <xf borderId="10" fillId="0" fontId="19" numFmtId="0" xfId="0" applyAlignment="1" applyBorder="1" applyFont="1">
      <alignment vertical="center"/>
    </xf>
    <xf borderId="10" fillId="0" fontId="19" numFmtId="0" xfId="0" applyAlignment="1" applyBorder="1" applyFont="1">
      <alignment horizontal="left" vertical="center"/>
    </xf>
    <xf borderId="4" fillId="0" fontId="19" numFmtId="0" xfId="0" applyAlignment="1" applyBorder="1" applyFont="1">
      <alignment horizontal="left" vertical="center"/>
    </xf>
    <xf borderId="39" fillId="0" fontId="19" numFmtId="0" xfId="0" applyAlignment="1" applyBorder="1" applyFont="1">
      <alignment vertical="center"/>
    </xf>
    <xf borderId="40" fillId="0" fontId="20" numFmtId="0" xfId="0" applyAlignment="1" applyBorder="1" applyFont="1">
      <alignment horizontal="right"/>
    </xf>
    <xf borderId="41" fillId="0" fontId="2" numFmtId="0" xfId="0" applyBorder="1" applyFont="1"/>
    <xf borderId="42" fillId="0" fontId="19" numFmtId="0" xfId="0" applyAlignment="1" applyBorder="1" applyFont="1">
      <alignment horizontal="center"/>
    </xf>
    <xf borderId="43" fillId="0" fontId="2" numFmtId="0" xfId="0" applyBorder="1" applyFont="1"/>
    <xf borderId="44" fillId="0" fontId="2" numFmtId="0" xfId="0" applyBorder="1" applyFont="1"/>
    <xf borderId="45" fillId="0" fontId="19" numFmtId="0" xfId="0" applyAlignment="1" applyBorder="1" applyFont="1">
      <alignment horizontal="center" vertical="center"/>
    </xf>
    <xf borderId="15" fillId="0" fontId="19" numFmtId="0" xfId="0" applyAlignment="1" applyBorder="1" applyFont="1">
      <alignment horizontal="center" vertical="center"/>
    </xf>
    <xf borderId="15" fillId="0" fontId="19" numFmtId="0" xfId="0" applyAlignment="1" applyBorder="1" applyFont="1">
      <alignment horizontal="left" vertical="center"/>
    </xf>
    <xf borderId="46" fillId="0" fontId="2" numFmtId="0" xfId="0" applyBorder="1" applyFont="1"/>
    <xf borderId="11" fillId="0" fontId="2" numFmtId="0" xfId="0" applyBorder="1" applyFont="1"/>
    <xf borderId="47" fillId="0" fontId="20" numFmtId="0" xfId="0" applyAlignment="1" applyBorder="1" applyFont="1">
      <alignment horizontal="right"/>
    </xf>
    <xf borderId="48" fillId="0" fontId="2" numFmtId="0" xfId="0" applyBorder="1" applyFont="1"/>
    <xf borderId="49" fillId="0" fontId="19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14" fillId="0" fontId="2" numFmtId="0" xfId="0" applyBorder="1" applyFont="1"/>
    <xf borderId="27" fillId="0" fontId="20" numFmtId="0" xfId="0" applyAlignment="1" applyBorder="1" applyFont="1">
      <alignment horizontal="right"/>
    </xf>
    <xf borderId="53" fillId="0" fontId="2" numFmtId="0" xfId="0" applyBorder="1" applyFont="1"/>
    <xf borderId="54" fillId="0" fontId="19" numFmtId="0" xfId="0" applyAlignment="1" applyBorder="1" applyFont="1">
      <alignment horizontal="center"/>
    </xf>
    <xf borderId="4" fillId="0" fontId="19" numFmtId="0" xfId="0" applyAlignment="1" applyBorder="1" applyFont="1">
      <alignment horizontal="center" vertical="center"/>
    </xf>
    <xf borderId="22" fillId="0" fontId="19" numFmtId="0" xfId="0" applyAlignment="1" applyBorder="1" applyFont="1">
      <alignment horizontal="center"/>
    </xf>
    <xf borderId="24" fillId="0" fontId="20" numFmtId="0" xfId="0" applyAlignment="1" applyBorder="1" applyFont="1">
      <alignment horizontal="center"/>
    </xf>
    <xf borderId="55" fillId="0" fontId="19" numFmtId="0" xfId="0" applyAlignment="1" applyBorder="1" applyFont="1">
      <alignment horizontal="center"/>
    </xf>
    <xf borderId="56" fillId="0" fontId="19" numFmtId="0" xfId="0" applyAlignment="1" applyBorder="1" applyFont="1">
      <alignment horizontal="center"/>
    </xf>
    <xf borderId="57" fillId="0" fontId="19" numFmtId="0" xfId="0" applyAlignment="1" applyBorder="1" applyFont="1">
      <alignment horizontal="center"/>
    </xf>
    <xf borderId="58" fillId="0" fontId="20" numFmtId="0" xfId="0" applyAlignment="1" applyBorder="1" applyFont="1">
      <alignment horizontal="center"/>
    </xf>
    <xf borderId="59" fillId="0" fontId="2" numFmtId="0" xfId="0" applyBorder="1" applyFont="1"/>
    <xf borderId="60" fillId="0" fontId="2" numFmtId="0" xfId="0" applyBorder="1" applyFont="1"/>
    <xf borderId="19" fillId="0" fontId="20" numFmtId="0" xfId="0" applyAlignment="1" applyBorder="1" applyFont="1">
      <alignment horizontal="right"/>
    </xf>
    <xf borderId="20" fillId="0" fontId="19" numFmtId="0" xfId="0" applyAlignment="1" applyBorder="1" applyFont="1">
      <alignment horizontal="center"/>
    </xf>
    <xf borderId="46" fillId="0" fontId="19" numFmtId="0" xfId="0" applyAlignment="1" applyBorder="1" applyFont="1">
      <alignment horizontal="right"/>
    </xf>
    <xf borderId="0" fillId="0" fontId="19" numFmtId="0" xfId="0" applyAlignment="1" applyFont="1">
      <alignment horizontal="center"/>
    </xf>
    <xf borderId="61" fillId="0" fontId="2" numFmtId="0" xfId="0" applyBorder="1" applyFont="1"/>
    <xf borderId="27" fillId="0" fontId="19" numFmtId="0" xfId="0" applyAlignment="1" applyBorder="1" applyFont="1">
      <alignment horizontal="right"/>
    </xf>
    <xf borderId="28" fillId="0" fontId="19" numFmtId="0" xfId="0" applyAlignment="1" applyBorder="1" applyFont="1">
      <alignment horizontal="center"/>
    </xf>
    <xf borderId="62" fillId="0" fontId="2" numFmtId="0" xfId="0" applyBorder="1" applyFont="1"/>
    <xf borderId="63" fillId="0" fontId="19" numFmtId="0" xfId="0" applyAlignment="1" applyBorder="1" applyFont="1">
      <alignment horizontal="left" vertical="center"/>
    </xf>
    <xf borderId="64" fillId="0" fontId="2" numFmtId="0" xfId="0" applyBorder="1" applyFont="1"/>
    <xf borderId="65" fillId="0" fontId="19" numFmtId="0" xfId="0" applyAlignment="1" applyBorder="1" applyFont="1">
      <alignment vertical="center"/>
    </xf>
    <xf borderId="58" fillId="0" fontId="19" numFmtId="0" xfId="0" applyAlignment="1" applyBorder="1" applyFont="1">
      <alignment horizontal="center"/>
    </xf>
    <xf borderId="63" fillId="0" fontId="19" numFmtId="0" xfId="0" applyAlignment="1" applyBorder="1" applyFont="1">
      <alignment horizontal="center"/>
    </xf>
    <xf borderId="30" fillId="0" fontId="19" numFmtId="0" xfId="0" applyAlignment="1" applyBorder="1" applyFont="1">
      <alignment horizontal="center"/>
    </xf>
    <xf borderId="34" fillId="0" fontId="19" numFmtId="0" xfId="0" applyAlignment="1" applyBorder="1" applyFont="1">
      <alignment horizontal="left"/>
    </xf>
    <xf borderId="40" fillId="0" fontId="19" numFmtId="0" xfId="0" applyAlignment="1" applyBorder="1" applyFont="1">
      <alignment horizontal="left"/>
    </xf>
    <xf borderId="66" fillId="0" fontId="19" numFmtId="0" xfId="0" applyAlignment="1" applyBorder="1" applyFont="1">
      <alignment horizontal="left"/>
    </xf>
    <xf borderId="67" fillId="0" fontId="2" numFmtId="0" xfId="0" applyBorder="1" applyFont="1"/>
    <xf borderId="68" fillId="0" fontId="2" numFmtId="0" xfId="0" applyBorder="1" applyFont="1"/>
    <xf borderId="69" fillId="0" fontId="19" numFmtId="0" xfId="0" applyAlignment="1" applyBorder="1" applyFont="1">
      <alignment horizontal="center"/>
    </xf>
    <xf borderId="70" fillId="0" fontId="2" numFmtId="0" xfId="0" applyBorder="1" applyFont="1"/>
    <xf borderId="58" fillId="0" fontId="19" numFmtId="0" xfId="0" applyAlignment="1" applyBorder="1" applyFont="1">
      <alignment horizontal="right"/>
    </xf>
    <xf borderId="71" fillId="0" fontId="19" numFmtId="0" xfId="0" applyAlignment="1" applyBorder="1" applyFont="1">
      <alignment horizontal="right"/>
    </xf>
    <xf borderId="72" fillId="0" fontId="19" numFmtId="0" xfId="0" applyAlignment="1" applyBorder="1" applyFont="1">
      <alignment horizontal="center"/>
    </xf>
    <xf borderId="73" fillId="0" fontId="19" numFmtId="0" xfId="0" applyAlignment="1" applyBorder="1" applyFont="1">
      <alignment horizontal="center"/>
    </xf>
    <xf borderId="74" fillId="0" fontId="19" numFmtId="0" xfId="0" applyAlignment="1" applyBorder="1" applyFont="1">
      <alignment horizontal="center"/>
    </xf>
    <xf borderId="75" fillId="0" fontId="19" numFmtId="0" xfId="0" applyAlignment="1" applyBorder="1" applyFont="1">
      <alignment horizontal="center"/>
    </xf>
    <xf borderId="76" fillId="0" fontId="19" numFmtId="0" xfId="0" applyBorder="1" applyFont="1"/>
    <xf borderId="77" fillId="0" fontId="19" numFmtId="0" xfId="0" applyBorder="1" applyFont="1"/>
    <xf borderId="78" fillId="0" fontId="19" numFmtId="0" xfId="0" applyBorder="1" applyFont="1"/>
    <xf borderId="79" fillId="0" fontId="19" numFmtId="0" xfId="0" applyBorder="1" applyFont="1"/>
    <xf borderId="34" fillId="0" fontId="19" numFmtId="0" xfId="0" applyAlignment="1" applyBorder="1" applyFont="1">
      <alignment horizontal="center"/>
    </xf>
    <xf borderId="40" fillId="0" fontId="19" numFmtId="0" xfId="0" applyAlignment="1" applyBorder="1" applyFont="1">
      <alignment horizontal="center"/>
    </xf>
    <xf borderId="66" fillId="0" fontId="19" numFmtId="0" xfId="0" applyAlignment="1" applyBorder="1" applyFont="1">
      <alignment horizontal="center"/>
    </xf>
    <xf borderId="58" fillId="0" fontId="1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niel Grimaldi" id="{1782bb9f-955a-4e56-ac4e-4c7c3c9449d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2" dT="2024-09-01T19:43:13.00" personId="{1782bb9f-955a-4e56-ac4e-4c7c3c9449dd}" id="{874b111a-77f5-4dee-8da1-929f4c15836f}" done="1">
    <x18tc:text xml:space="preserve">Hermit Skill</x18tc:text>
  </x18tc:threadedComment>
  <x18tc:threadedComment ref="D20" dT="2024-09-01T19:43:40.00" personId="{1782bb9f-955a-4e56-ac4e-4c7c3c9449dd}" id="{f57eb3d0-3692-4189-b9e2-7ea6dc2d0da6}" done="1">
    <x18tc:text xml:space="preserve">Paladin Skill</x18tc:text>
  </x18tc:threadedComment>
  <x18tc:threadedComment ref="D27" dT="2024-09-01T19:41:52.00" personId="{1782bb9f-955a-4e56-ac4e-4c7c3c9449dd}" id="{e1fba277-1df7-4bbb-8345-9a5eec7e9bbb}" done="1">
    <x18tc:text xml:space="preserve">Resilient Feature (nivel 4)</x18tc:text>
  </x18tc:threadedComment>
  <x18tc:threadedComment ref="D21" dT="2024-09-01T19:43:05.00" personId="{1782bb9f-955a-4e56-ac4e-4c7c3c9449dd}" id="{67005009-a843-4723-ac2b-d3b93ab67bbb}" done="1">
    <x18tc:text xml:space="preserve">Hermit Skill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dnd5e.wikidot.com/spell:aura-of-life" TargetMode="External"/><Relationship Id="rId42" Type="http://schemas.openxmlformats.org/officeDocument/2006/relationships/hyperlink" Target="http://dnd5e.wikidot.com/spell:banishment" TargetMode="External"/><Relationship Id="rId41" Type="http://schemas.openxmlformats.org/officeDocument/2006/relationships/hyperlink" Target="http://dnd5e.wikidot.com/spell:aura-of-purity" TargetMode="External"/><Relationship Id="rId44" Type="http://schemas.openxmlformats.org/officeDocument/2006/relationships/hyperlink" Target="http://dnd5e.wikidot.com/spell:find-greater-steed" TargetMode="External"/><Relationship Id="rId43" Type="http://schemas.openxmlformats.org/officeDocument/2006/relationships/hyperlink" Target="http://dnd5e.wikidot.com/spell:death-ward" TargetMode="External"/><Relationship Id="rId46" Type="http://schemas.openxmlformats.org/officeDocument/2006/relationships/hyperlink" Target="http://dnd5e.wikidot.com/spell:staggering-smite" TargetMode="External"/><Relationship Id="rId45" Type="http://schemas.openxmlformats.org/officeDocument/2006/relationships/hyperlink" Target="http://dnd5e.wikidot.com/spell:locate-creature" TargetMode="External"/><Relationship Id="rId1" Type="http://schemas.openxmlformats.org/officeDocument/2006/relationships/hyperlink" Target="http://dnd5e.wikidot.com/spell:bless" TargetMode="External"/><Relationship Id="rId2" Type="http://schemas.openxmlformats.org/officeDocument/2006/relationships/hyperlink" Target="http://dnd5e.wikidot.com/spell:ceremony" TargetMode="External"/><Relationship Id="rId3" Type="http://schemas.openxmlformats.org/officeDocument/2006/relationships/hyperlink" Target="http://dnd5e.wikidot.com/spell:command" TargetMode="External"/><Relationship Id="rId4" Type="http://schemas.openxmlformats.org/officeDocument/2006/relationships/hyperlink" Target="http://dnd5e.wikidot.com/spell:compelled-duel" TargetMode="External"/><Relationship Id="rId9" Type="http://schemas.openxmlformats.org/officeDocument/2006/relationships/hyperlink" Target="http://dnd5e.wikidot.com/spell:divine-favor" TargetMode="External"/><Relationship Id="rId48" Type="http://schemas.openxmlformats.org/officeDocument/2006/relationships/hyperlink" Target="http://dnd5e.wikidot.com/spell:circle-of-power" TargetMode="External"/><Relationship Id="rId47" Type="http://schemas.openxmlformats.org/officeDocument/2006/relationships/hyperlink" Target="http://dnd5e.wikidot.com/spell:banishing-smite" TargetMode="External"/><Relationship Id="rId49" Type="http://schemas.openxmlformats.org/officeDocument/2006/relationships/hyperlink" Target="http://dnd5e.wikidot.com/spell:destructive-wave" TargetMode="External"/><Relationship Id="rId5" Type="http://schemas.openxmlformats.org/officeDocument/2006/relationships/hyperlink" Target="http://dnd5e.wikidot.com/spell:cure-wounds" TargetMode="External"/><Relationship Id="rId6" Type="http://schemas.openxmlformats.org/officeDocument/2006/relationships/hyperlink" Target="http://dnd5e.wikidot.com/spell:detect-evil-and-good" TargetMode="External"/><Relationship Id="rId7" Type="http://schemas.openxmlformats.org/officeDocument/2006/relationships/hyperlink" Target="http://dnd5e.wikidot.com/spell:detect-magic" TargetMode="External"/><Relationship Id="rId8" Type="http://schemas.openxmlformats.org/officeDocument/2006/relationships/hyperlink" Target="http://dnd5e.wikidot.com/spell:detect-poison-and-disease" TargetMode="External"/><Relationship Id="rId31" Type="http://schemas.openxmlformats.org/officeDocument/2006/relationships/hyperlink" Target="http://dnd5e.wikidot.com/spell:create-food-and-water" TargetMode="External"/><Relationship Id="rId30" Type="http://schemas.openxmlformats.org/officeDocument/2006/relationships/hyperlink" Target="http://dnd5e.wikidot.com/spell:blinding-smite" TargetMode="External"/><Relationship Id="rId33" Type="http://schemas.openxmlformats.org/officeDocument/2006/relationships/hyperlink" Target="http://dnd5e.wikidot.com/spell:daylight" TargetMode="External"/><Relationship Id="rId32" Type="http://schemas.openxmlformats.org/officeDocument/2006/relationships/hyperlink" Target="http://dnd5e.wikidot.com/spell:crusaders-mantle" TargetMode="External"/><Relationship Id="rId35" Type="http://schemas.openxmlformats.org/officeDocument/2006/relationships/hyperlink" Target="http://dnd5e.wikidot.com/spell:elemental-weapon" TargetMode="External"/><Relationship Id="rId34" Type="http://schemas.openxmlformats.org/officeDocument/2006/relationships/hyperlink" Target="http://dnd5e.wikidot.com/spell:dispel-magic" TargetMode="External"/><Relationship Id="rId37" Type="http://schemas.openxmlformats.org/officeDocument/2006/relationships/hyperlink" Target="http://dnd5e.wikidot.com/spell:remove-curse" TargetMode="External"/><Relationship Id="rId36" Type="http://schemas.openxmlformats.org/officeDocument/2006/relationships/hyperlink" Target="http://dnd5e.wikidot.com/spell:magic-circle" TargetMode="External"/><Relationship Id="rId39" Type="http://schemas.openxmlformats.org/officeDocument/2006/relationships/hyperlink" Target="http://dnd5e.wikidot.com/spell:spirit-shroud" TargetMode="External"/><Relationship Id="rId38" Type="http://schemas.openxmlformats.org/officeDocument/2006/relationships/hyperlink" Target="http://dnd5e.wikidot.com/spell:revivify" TargetMode="External"/><Relationship Id="rId20" Type="http://schemas.openxmlformats.org/officeDocument/2006/relationships/hyperlink" Target="http://dnd5e.wikidot.com/spell:find-vehicle" TargetMode="External"/><Relationship Id="rId22" Type="http://schemas.openxmlformats.org/officeDocument/2006/relationships/hyperlink" Target="http://dnd5e.wikidot.com/spell:lesser-restoration" TargetMode="External"/><Relationship Id="rId21" Type="http://schemas.openxmlformats.org/officeDocument/2006/relationships/hyperlink" Target="http://dnd5e.wikidot.com/spell:gentle-repose" TargetMode="External"/><Relationship Id="rId24" Type="http://schemas.openxmlformats.org/officeDocument/2006/relationships/hyperlink" Target="http://dnd5e.wikidot.com/spell:magic-weapon" TargetMode="External"/><Relationship Id="rId23" Type="http://schemas.openxmlformats.org/officeDocument/2006/relationships/hyperlink" Target="http://dnd5e.wikidot.com/spell:locate-object" TargetMode="External"/><Relationship Id="rId26" Type="http://schemas.openxmlformats.org/officeDocument/2006/relationships/hyperlink" Target="http://dnd5e.wikidot.com/spell:protection-from-poison" TargetMode="External"/><Relationship Id="rId25" Type="http://schemas.openxmlformats.org/officeDocument/2006/relationships/hyperlink" Target="http://dnd5e.wikidot.com/spell:prayer-of-healing" TargetMode="External"/><Relationship Id="rId28" Type="http://schemas.openxmlformats.org/officeDocument/2006/relationships/hyperlink" Target="http://dnd5e.wikidot.com/spell:zone-of-truth" TargetMode="External"/><Relationship Id="rId27" Type="http://schemas.openxmlformats.org/officeDocument/2006/relationships/hyperlink" Target="http://dnd5e.wikidot.com/spell:warding-bond" TargetMode="External"/><Relationship Id="rId29" Type="http://schemas.openxmlformats.org/officeDocument/2006/relationships/hyperlink" Target="http://dnd5e.wikidot.com/spell:aura-of-vitality" TargetMode="External"/><Relationship Id="rId51" Type="http://schemas.openxmlformats.org/officeDocument/2006/relationships/hyperlink" Target="http://dnd5e.wikidot.com/spell:geas" TargetMode="External"/><Relationship Id="rId50" Type="http://schemas.openxmlformats.org/officeDocument/2006/relationships/hyperlink" Target="http://dnd5e.wikidot.com/spell:dispel-evil-and-good" TargetMode="External"/><Relationship Id="rId53" Type="http://schemas.openxmlformats.org/officeDocument/2006/relationships/hyperlink" Target="http://dnd5e.wikidot.com/spell:raise-dead" TargetMode="External"/><Relationship Id="rId52" Type="http://schemas.openxmlformats.org/officeDocument/2006/relationships/hyperlink" Target="http://dnd5e.wikidot.com/spell:holy-weapon" TargetMode="External"/><Relationship Id="rId11" Type="http://schemas.openxmlformats.org/officeDocument/2006/relationships/hyperlink" Target="http://dnd5e.wikidot.com/spell:protection-from-evil-and-good" TargetMode="External"/><Relationship Id="rId55" Type="http://schemas.openxmlformats.org/officeDocument/2006/relationships/drawing" Target="../drawings/drawing3.xml"/><Relationship Id="rId10" Type="http://schemas.openxmlformats.org/officeDocument/2006/relationships/hyperlink" Target="http://dnd5e.wikidot.com/spell:heroism" TargetMode="External"/><Relationship Id="rId54" Type="http://schemas.openxmlformats.org/officeDocument/2006/relationships/hyperlink" Target="http://dnd5e.wikidot.com/spell:summon-celestial" TargetMode="External"/><Relationship Id="rId13" Type="http://schemas.openxmlformats.org/officeDocument/2006/relationships/hyperlink" Target="http://dnd5e.wikidot.com/spell:searing-smite" TargetMode="External"/><Relationship Id="rId12" Type="http://schemas.openxmlformats.org/officeDocument/2006/relationships/hyperlink" Target="http://dnd5e.wikidot.com/spell:purify-food-and-drink" TargetMode="External"/><Relationship Id="rId15" Type="http://schemas.openxmlformats.org/officeDocument/2006/relationships/hyperlink" Target="http://dnd5e.wikidot.com/spell:thunderous-smite" TargetMode="External"/><Relationship Id="rId14" Type="http://schemas.openxmlformats.org/officeDocument/2006/relationships/hyperlink" Target="http://dnd5e.wikidot.com/spell:shield-of-faith" TargetMode="External"/><Relationship Id="rId17" Type="http://schemas.openxmlformats.org/officeDocument/2006/relationships/hyperlink" Target="http://dnd5e.wikidot.com/spell:aid" TargetMode="External"/><Relationship Id="rId16" Type="http://schemas.openxmlformats.org/officeDocument/2006/relationships/hyperlink" Target="http://dnd5e.wikidot.com/spell:wrathful-smite" TargetMode="External"/><Relationship Id="rId19" Type="http://schemas.openxmlformats.org/officeDocument/2006/relationships/hyperlink" Target="http://dnd5e.wikidot.com/spell:find-steed" TargetMode="External"/><Relationship Id="rId18" Type="http://schemas.openxmlformats.org/officeDocument/2006/relationships/hyperlink" Target="http://dnd5e.wikidot.com/spell:branding-smit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0.29"/>
    <col customWidth="1" min="3" max="3" width="20.29"/>
    <col customWidth="1" min="4" max="4" width="12.71"/>
    <col customWidth="1" min="5" max="5" width="3.29"/>
    <col customWidth="1" min="6" max="6" width="5.29"/>
    <col customWidth="1" min="7" max="7" width="8.57"/>
    <col customWidth="1" min="8" max="8" width="10.71"/>
    <col customWidth="1" min="9" max="17" width="3.29"/>
    <col customWidth="1" min="18" max="18" width="5.43"/>
    <col customWidth="1" min="19" max="20" width="25.14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F1" s="5" t="s">
        <v>4</v>
      </c>
      <c r="G1" s="6"/>
      <c r="H1" s="7"/>
      <c r="I1" s="5" t="s">
        <v>5</v>
      </c>
      <c r="J1" s="6"/>
      <c r="K1" s="6"/>
      <c r="L1" s="6"/>
      <c r="M1" s="6"/>
      <c r="N1" s="6"/>
      <c r="O1" s="6"/>
      <c r="P1" s="6"/>
      <c r="Q1" s="7"/>
    </row>
    <row r="2">
      <c r="A2" s="8" t="s">
        <v>6</v>
      </c>
      <c r="B2" s="9" t="s">
        <v>7</v>
      </c>
      <c r="C2" s="10" t="s">
        <v>8</v>
      </c>
      <c r="D2" s="11" t="s">
        <v>9</v>
      </c>
      <c r="F2" s="12" t="s">
        <v>10</v>
      </c>
      <c r="G2" s="13" t="s">
        <v>11</v>
      </c>
      <c r="H2" s="14" t="s">
        <v>12</v>
      </c>
      <c r="I2" s="12">
        <v>0.0</v>
      </c>
      <c r="J2" s="15" t="s">
        <v>13</v>
      </c>
      <c r="K2" s="13" t="s">
        <v>14</v>
      </c>
      <c r="L2" s="14" t="s">
        <v>15</v>
      </c>
      <c r="M2" s="12">
        <v>4.0</v>
      </c>
      <c r="N2" s="12">
        <v>8.0</v>
      </c>
      <c r="O2" s="12">
        <v>12.0</v>
      </c>
      <c r="P2" s="12">
        <v>16.0</v>
      </c>
      <c r="Q2" s="12">
        <v>19.0</v>
      </c>
      <c r="R2" s="12" t="s">
        <v>16</v>
      </c>
    </row>
    <row r="3">
      <c r="A3" s="1" t="s">
        <v>17</v>
      </c>
      <c r="B3" s="2" t="s">
        <v>18</v>
      </c>
      <c r="C3" s="3" t="s">
        <v>19</v>
      </c>
      <c r="D3" s="4">
        <v>35.0</v>
      </c>
      <c r="F3" s="16" t="s">
        <v>20</v>
      </c>
      <c r="G3" s="17">
        <f t="shared" ref="G3:G8" si="1">floor(H3/2,1)-5</f>
        <v>3</v>
      </c>
      <c r="H3" s="18">
        <f t="shared" ref="H3:H8" si="2">sum(I3:R3)</f>
        <v>16</v>
      </c>
      <c r="I3" s="16">
        <v>2.0</v>
      </c>
      <c r="J3" s="19">
        <v>8.0</v>
      </c>
      <c r="K3" s="20">
        <v>5.0</v>
      </c>
      <c r="L3" s="21">
        <v>0.0</v>
      </c>
      <c r="M3" s="22"/>
      <c r="N3" s="16">
        <v>1.0</v>
      </c>
      <c r="O3" s="22"/>
      <c r="P3" s="22"/>
      <c r="Q3" s="22"/>
      <c r="R3" s="22"/>
    </row>
    <row r="4">
      <c r="A4" s="8" t="s">
        <v>21</v>
      </c>
      <c r="B4" s="9" t="s">
        <v>22</v>
      </c>
      <c r="C4" s="10" t="s">
        <v>23</v>
      </c>
      <c r="D4" s="11" t="s">
        <v>24</v>
      </c>
      <c r="F4" s="16" t="s">
        <v>25</v>
      </c>
      <c r="G4" s="17">
        <f t="shared" si="1"/>
        <v>0</v>
      </c>
      <c r="H4" s="18">
        <f t="shared" si="2"/>
        <v>10</v>
      </c>
      <c r="I4" s="16">
        <v>0.0</v>
      </c>
      <c r="J4" s="19">
        <v>8.0</v>
      </c>
      <c r="K4" s="20">
        <v>2.0</v>
      </c>
      <c r="L4" s="21">
        <v>0.0</v>
      </c>
      <c r="M4" s="22"/>
      <c r="N4" s="22"/>
      <c r="O4" s="22"/>
      <c r="P4" s="22"/>
      <c r="Q4" s="22"/>
      <c r="R4" s="22"/>
    </row>
    <row r="5">
      <c r="A5" s="23" t="s">
        <v>26</v>
      </c>
      <c r="B5" s="13" t="s">
        <v>27</v>
      </c>
      <c r="C5" s="13" t="s">
        <v>28</v>
      </c>
      <c r="D5" s="14" t="s">
        <v>29</v>
      </c>
      <c r="F5" s="16" t="s">
        <v>30</v>
      </c>
      <c r="G5" s="17">
        <f t="shared" si="1"/>
        <v>3</v>
      </c>
      <c r="H5" s="18">
        <f t="shared" si="2"/>
        <v>16</v>
      </c>
      <c r="I5" s="16">
        <v>0.0</v>
      </c>
      <c r="J5" s="19">
        <v>8.0</v>
      </c>
      <c r="K5" s="20">
        <v>5.0</v>
      </c>
      <c r="L5" s="21">
        <v>2.0</v>
      </c>
      <c r="M5" s="16">
        <v>1.0</v>
      </c>
      <c r="N5" s="22"/>
      <c r="O5" s="22"/>
      <c r="P5" s="22"/>
      <c r="Q5" s="22"/>
      <c r="R5" s="22"/>
    </row>
    <row r="6">
      <c r="A6" s="24" t="s">
        <v>31</v>
      </c>
      <c r="B6" s="2">
        <v>8.0</v>
      </c>
      <c r="C6" s="25" t="s">
        <v>32</v>
      </c>
      <c r="D6" s="26">
        <f>CEILING(datos_basicos!B6/4,1)+1</f>
        <v>3</v>
      </c>
      <c r="F6" s="16" t="s">
        <v>33</v>
      </c>
      <c r="G6" s="17">
        <f t="shared" si="1"/>
        <v>2</v>
      </c>
      <c r="H6" s="18">
        <f t="shared" si="2"/>
        <v>14</v>
      </c>
      <c r="I6" s="16">
        <v>0.0</v>
      </c>
      <c r="J6" s="19">
        <v>8.0</v>
      </c>
      <c r="K6" s="20">
        <v>4.0</v>
      </c>
      <c r="L6" s="21">
        <v>0.0</v>
      </c>
      <c r="M6" s="22"/>
      <c r="N6" s="22"/>
      <c r="O6" s="22"/>
      <c r="P6" s="22"/>
      <c r="Q6" s="22"/>
      <c r="R6" s="22">
        <v>2.0</v>
      </c>
      <c r="S6" s="20" t="s">
        <v>34</v>
      </c>
    </row>
    <row r="7">
      <c r="A7" s="27" t="s">
        <v>35</v>
      </c>
      <c r="B7" s="20" t="str">
        <f>concatenate(B6,"d10")</f>
        <v>8d10</v>
      </c>
      <c r="C7" s="28" t="s">
        <v>36</v>
      </c>
      <c r="D7" s="11">
        <v>30.0</v>
      </c>
      <c r="F7" s="16" t="s">
        <v>37</v>
      </c>
      <c r="G7" s="17">
        <f t="shared" si="1"/>
        <v>0</v>
      </c>
      <c r="H7" s="18">
        <f t="shared" si="2"/>
        <v>10</v>
      </c>
      <c r="I7" s="16">
        <v>0.0</v>
      </c>
      <c r="J7" s="19">
        <v>8.0</v>
      </c>
      <c r="K7" s="20">
        <v>2.0</v>
      </c>
      <c r="L7" s="21">
        <v>0.0</v>
      </c>
      <c r="M7" s="22"/>
      <c r="N7" s="22"/>
      <c r="O7" s="22"/>
      <c r="P7" s="22"/>
      <c r="Q7" s="22"/>
      <c r="R7" s="22"/>
    </row>
    <row r="8">
      <c r="A8" s="23" t="s">
        <v>38</v>
      </c>
      <c r="B8" s="29">
        <f>G4</f>
        <v>0</v>
      </c>
      <c r="C8" s="10" t="s">
        <v>39</v>
      </c>
      <c r="D8" s="30">
        <f>G7</f>
        <v>0</v>
      </c>
      <c r="F8" s="31" t="s">
        <v>40</v>
      </c>
      <c r="G8" s="32">
        <f t="shared" si="1"/>
        <v>2</v>
      </c>
      <c r="H8" s="30">
        <f t="shared" si="2"/>
        <v>14</v>
      </c>
      <c r="I8" s="31">
        <v>1.0</v>
      </c>
      <c r="J8" s="33">
        <v>8.0</v>
      </c>
      <c r="K8" s="9">
        <v>5.0</v>
      </c>
      <c r="L8" s="11">
        <v>0.0</v>
      </c>
      <c r="M8" s="34"/>
      <c r="N8" s="34"/>
      <c r="O8" s="31"/>
      <c r="P8" s="31">
        <v>0.0</v>
      </c>
      <c r="Q8" s="34"/>
      <c r="R8" s="34"/>
    </row>
    <row r="9">
      <c r="A9" s="35" t="s">
        <v>41</v>
      </c>
      <c r="B9" s="36"/>
      <c r="C9" s="36"/>
      <c r="D9" s="37"/>
      <c r="J9" s="17">
        <f>sum(K3:K8)+2*sum(L3:L8)</f>
        <v>27</v>
      </c>
    </row>
    <row r="10">
      <c r="A10" s="38" t="s">
        <v>42</v>
      </c>
      <c r="B10" s="39" t="s">
        <v>43</v>
      </c>
      <c r="C10" s="40">
        <v>0.0</v>
      </c>
      <c r="D10" s="41" t="s">
        <v>44</v>
      </c>
    </row>
    <row r="11">
      <c r="A11" s="42" t="s">
        <v>45</v>
      </c>
      <c r="B11" s="20" t="s">
        <v>46</v>
      </c>
      <c r="C11" s="20">
        <v>5.0</v>
      </c>
      <c r="D11" s="18" t="s">
        <v>44</v>
      </c>
    </row>
    <row r="12">
      <c r="A12" s="8" t="s">
        <v>47</v>
      </c>
      <c r="B12" s="9" t="s">
        <v>48</v>
      </c>
      <c r="C12" s="9">
        <v>6.0</v>
      </c>
      <c r="D12" s="30" t="s">
        <v>44</v>
      </c>
    </row>
    <row r="14">
      <c r="G14" s="43" t="s">
        <v>49</v>
      </c>
      <c r="H14" s="44"/>
      <c r="I14" s="35" t="s">
        <v>50</v>
      </c>
      <c r="J14" s="44"/>
      <c r="K14" s="44"/>
      <c r="L14" s="44"/>
      <c r="M14" s="45"/>
      <c r="N14" s="24" t="s">
        <v>51</v>
      </c>
      <c r="O14" s="44"/>
      <c r="P14" s="44"/>
      <c r="Q14" s="45"/>
      <c r="S14" s="20" t="s">
        <v>52</v>
      </c>
    </row>
    <row r="15">
      <c r="G15" s="46"/>
      <c r="I15" s="47">
        <v>1.0</v>
      </c>
      <c r="J15" s="28">
        <v>2.0</v>
      </c>
      <c r="K15" s="28">
        <v>3.0</v>
      </c>
      <c r="L15" s="28">
        <v>4.0</v>
      </c>
      <c r="M15" s="48">
        <v>5.0</v>
      </c>
      <c r="N15" s="49"/>
      <c r="O15" s="50"/>
      <c r="P15" s="50"/>
      <c r="Q15" s="51"/>
      <c r="S15" s="52" t="s">
        <v>53</v>
      </c>
      <c r="T15" s="20" t="s">
        <v>54</v>
      </c>
    </row>
    <row r="16">
      <c r="G16" s="53" t="s">
        <v>55</v>
      </c>
      <c r="H16" s="54">
        <v>1.0</v>
      </c>
      <c r="I16" s="55">
        <v>0.0</v>
      </c>
      <c r="J16" s="55">
        <v>0.0</v>
      </c>
      <c r="K16" s="55">
        <v>0.0</v>
      </c>
      <c r="L16" s="55">
        <v>0.0</v>
      </c>
      <c r="M16" s="56">
        <v>0.0</v>
      </c>
      <c r="N16" s="57">
        <f t="shared" ref="N16:N26" si="3">ifna(HLOOKUP(0,{I16:M16;I$15:M$15},2,False),6)-1</f>
        <v>0</v>
      </c>
      <c r="Q16" s="58"/>
      <c r="S16" s="20" t="s">
        <v>56</v>
      </c>
      <c r="T16" s="59" t="s">
        <v>57</v>
      </c>
    </row>
    <row r="17">
      <c r="G17" s="46"/>
      <c r="H17" s="56">
        <v>2.0</v>
      </c>
      <c r="I17" s="55">
        <v>2.0</v>
      </c>
      <c r="J17" s="55">
        <v>0.0</v>
      </c>
      <c r="K17" s="55">
        <v>0.0</v>
      </c>
      <c r="L17" s="55">
        <v>0.0</v>
      </c>
      <c r="M17" s="56">
        <v>0.0</v>
      </c>
      <c r="N17" s="57">
        <f t="shared" si="3"/>
        <v>1</v>
      </c>
      <c r="Q17" s="58"/>
      <c r="S17" s="60" t="s">
        <v>58</v>
      </c>
      <c r="T17" s="59" t="s">
        <v>59</v>
      </c>
    </row>
    <row r="18">
      <c r="A18" s="35" t="s">
        <v>60</v>
      </c>
      <c r="B18" s="44"/>
      <c r="C18" s="44"/>
      <c r="D18" s="44"/>
      <c r="E18" s="61"/>
      <c r="G18" s="46"/>
      <c r="H18" s="62">
        <v>3.0</v>
      </c>
      <c r="I18" s="55">
        <v>3.0</v>
      </c>
      <c r="J18" s="55">
        <v>0.0</v>
      </c>
      <c r="K18" s="55">
        <v>0.0</v>
      </c>
      <c r="L18" s="55">
        <v>0.0</v>
      </c>
      <c r="M18" s="56">
        <v>0.0</v>
      </c>
      <c r="N18" s="57">
        <f t="shared" si="3"/>
        <v>1</v>
      </c>
      <c r="Q18" s="58"/>
      <c r="S18" s="20" t="s">
        <v>61</v>
      </c>
      <c r="T18" s="59" t="s">
        <v>62</v>
      </c>
    </row>
    <row r="19">
      <c r="A19" s="63" t="s">
        <v>63</v>
      </c>
      <c r="B19" s="63" t="s">
        <v>64</v>
      </c>
      <c r="C19" s="63" t="s">
        <v>65</v>
      </c>
      <c r="D19" s="63" t="s">
        <v>66</v>
      </c>
      <c r="G19" s="46"/>
      <c r="H19" s="62">
        <v>5.0</v>
      </c>
      <c r="I19" s="55">
        <v>4.0</v>
      </c>
      <c r="J19" s="55">
        <v>2.0</v>
      </c>
      <c r="K19" s="55">
        <v>0.0</v>
      </c>
      <c r="L19" s="55">
        <v>0.0</v>
      </c>
      <c r="M19" s="56">
        <v>0.0</v>
      </c>
      <c r="N19" s="57">
        <f t="shared" si="3"/>
        <v>2</v>
      </c>
      <c r="Q19" s="58"/>
      <c r="S19" s="52" t="s">
        <v>67</v>
      </c>
      <c r="T19" s="20" t="s">
        <v>68</v>
      </c>
    </row>
    <row r="20">
      <c r="A20" s="20" t="b">
        <v>1</v>
      </c>
      <c r="B20" s="20" t="s">
        <v>69</v>
      </c>
      <c r="D20" s="20" t="s">
        <v>70</v>
      </c>
      <c r="G20" s="46"/>
      <c r="H20" s="64">
        <v>7.0</v>
      </c>
      <c r="I20" s="65">
        <v>4.0</v>
      </c>
      <c r="J20" s="65">
        <v>3.0</v>
      </c>
      <c r="K20" s="65">
        <v>0.0</v>
      </c>
      <c r="L20" s="65">
        <v>0.0</v>
      </c>
      <c r="M20" s="66">
        <v>0.0</v>
      </c>
      <c r="N20" s="67">
        <f t="shared" si="3"/>
        <v>2</v>
      </c>
      <c r="Q20" s="58"/>
      <c r="S20" s="20" t="s">
        <v>71</v>
      </c>
      <c r="T20" s="20" t="s">
        <v>72</v>
      </c>
    </row>
    <row r="21">
      <c r="A21" s="20" t="b">
        <v>0</v>
      </c>
      <c r="B21" s="20" t="s">
        <v>73</v>
      </c>
      <c r="D21" s="20" t="s">
        <v>70</v>
      </c>
      <c r="G21" s="46"/>
      <c r="H21" s="68">
        <v>9.0</v>
      </c>
      <c r="I21" s="69">
        <v>4.0</v>
      </c>
      <c r="J21" s="69">
        <v>3.0</v>
      </c>
      <c r="K21" s="69">
        <v>2.0</v>
      </c>
      <c r="L21" s="69">
        <v>0.0</v>
      </c>
      <c r="M21" s="70">
        <v>0.0</v>
      </c>
      <c r="N21" s="71">
        <f t="shared" si="3"/>
        <v>3</v>
      </c>
      <c r="Q21" s="58"/>
    </row>
    <row r="22">
      <c r="A22" s="20" t="b">
        <v>1</v>
      </c>
      <c r="B22" s="20" t="s">
        <v>74</v>
      </c>
      <c r="D22" s="20" t="s">
        <v>70</v>
      </c>
      <c r="G22" s="46"/>
      <c r="H22" s="68">
        <v>11.0</v>
      </c>
      <c r="I22" s="69">
        <v>4.0</v>
      </c>
      <c r="J22" s="69">
        <v>3.0</v>
      </c>
      <c r="K22" s="69">
        <v>3.0</v>
      </c>
      <c r="L22" s="69">
        <v>0.0</v>
      </c>
      <c r="M22" s="70">
        <v>0.0</v>
      </c>
      <c r="N22" s="71">
        <f t="shared" si="3"/>
        <v>3</v>
      </c>
      <c r="Q22" s="58"/>
    </row>
    <row r="23">
      <c r="A23" s="20" t="b">
        <v>0</v>
      </c>
      <c r="B23" s="20" t="s">
        <v>75</v>
      </c>
      <c r="C23" s="20"/>
      <c r="D23" s="20" t="s">
        <v>70</v>
      </c>
      <c r="G23" s="46"/>
      <c r="H23" s="68">
        <v>13.0</v>
      </c>
      <c r="I23" s="69">
        <v>4.0</v>
      </c>
      <c r="J23" s="69">
        <v>3.0</v>
      </c>
      <c r="K23" s="69">
        <v>3.0</v>
      </c>
      <c r="L23" s="69">
        <v>1.0</v>
      </c>
      <c r="M23" s="70">
        <v>0.0</v>
      </c>
      <c r="N23" s="71">
        <f t="shared" si="3"/>
        <v>4</v>
      </c>
      <c r="Q23" s="58"/>
    </row>
    <row r="24">
      <c r="A24" s="20" t="b">
        <v>1</v>
      </c>
      <c r="B24" s="20" t="s">
        <v>76</v>
      </c>
      <c r="D24" s="20" t="s">
        <v>70</v>
      </c>
      <c r="G24" s="46"/>
      <c r="H24" s="68">
        <v>15.0</v>
      </c>
      <c r="I24" s="69">
        <v>4.0</v>
      </c>
      <c r="J24" s="69">
        <v>3.0</v>
      </c>
      <c r="K24" s="69">
        <v>3.0</v>
      </c>
      <c r="L24" s="69">
        <v>2.0</v>
      </c>
      <c r="M24" s="70">
        <v>0.0</v>
      </c>
      <c r="N24" s="71">
        <f t="shared" si="3"/>
        <v>4</v>
      </c>
      <c r="Q24" s="58"/>
    </row>
    <row r="25">
      <c r="A25" s="20" t="b">
        <v>1</v>
      </c>
      <c r="B25" s="20" t="s">
        <v>77</v>
      </c>
      <c r="D25" s="20" t="s">
        <v>70</v>
      </c>
      <c r="G25" s="46"/>
      <c r="H25" s="68">
        <v>17.0</v>
      </c>
      <c r="I25" s="69">
        <v>4.0</v>
      </c>
      <c r="J25" s="69">
        <v>3.0</v>
      </c>
      <c r="K25" s="69">
        <v>3.0</v>
      </c>
      <c r="L25" s="69">
        <v>3.0</v>
      </c>
      <c r="M25" s="70">
        <v>1.0</v>
      </c>
      <c r="N25" s="71">
        <f t="shared" si="3"/>
        <v>5</v>
      </c>
      <c r="Q25" s="58"/>
    </row>
    <row r="26">
      <c r="A26" s="20" t="b">
        <v>1</v>
      </c>
      <c r="B26" s="20" t="s">
        <v>78</v>
      </c>
      <c r="C26" s="20" t="s">
        <v>79</v>
      </c>
      <c r="D26" s="20" t="s">
        <v>80</v>
      </c>
      <c r="G26" s="49"/>
      <c r="H26" s="72">
        <v>19.0</v>
      </c>
      <c r="I26" s="73">
        <v>4.0</v>
      </c>
      <c r="J26" s="73">
        <v>3.0</v>
      </c>
      <c r="K26" s="73">
        <v>3.0</v>
      </c>
      <c r="L26" s="73">
        <v>3.0</v>
      </c>
      <c r="M26" s="74">
        <v>2.0</v>
      </c>
      <c r="N26" s="75">
        <f t="shared" si="3"/>
        <v>5</v>
      </c>
      <c r="O26" s="50"/>
      <c r="P26" s="50"/>
      <c r="Q26" s="51"/>
    </row>
    <row r="27">
      <c r="A27" s="20" t="b">
        <v>1</v>
      </c>
      <c r="B27" s="20" t="s">
        <v>81</v>
      </c>
      <c r="C27" s="59" t="s">
        <v>82</v>
      </c>
      <c r="D27" s="20" t="s">
        <v>83</v>
      </c>
      <c r="G27" s="76" t="s">
        <v>84</v>
      </c>
      <c r="N27" s="76">
        <f>datos_basicos!G8+FLOOR(datos_basicos!B6/2,1)</f>
        <v>6</v>
      </c>
    </row>
    <row r="28">
      <c r="A28" s="20" t="b">
        <v>1</v>
      </c>
      <c r="B28" s="20" t="s">
        <v>85</v>
      </c>
      <c r="C28" s="59" t="s">
        <v>86</v>
      </c>
      <c r="D28" s="20" t="s">
        <v>83</v>
      </c>
    </row>
    <row r="29">
      <c r="A29" s="20" t="b">
        <v>1</v>
      </c>
      <c r="B29" s="20" t="s">
        <v>87</v>
      </c>
      <c r="D29" s="20" t="s">
        <v>88</v>
      </c>
    </row>
    <row r="30">
      <c r="A30" s="20" t="b">
        <v>1</v>
      </c>
      <c r="B30" s="20" t="s">
        <v>89</v>
      </c>
      <c r="D30" s="20" t="s">
        <v>90</v>
      </c>
    </row>
    <row r="31">
      <c r="A31" s="20" t="b">
        <v>1</v>
      </c>
      <c r="B31" s="20" t="s">
        <v>91</v>
      </c>
      <c r="D31" s="20" t="s">
        <v>92</v>
      </c>
    </row>
    <row r="32">
      <c r="A32" s="20" t="b">
        <v>1</v>
      </c>
      <c r="B32" s="20" t="s">
        <v>93</v>
      </c>
      <c r="C32" s="20" t="s">
        <v>94</v>
      </c>
      <c r="D32" s="20" t="s">
        <v>92</v>
      </c>
    </row>
    <row r="33">
      <c r="A33" s="20" t="b">
        <v>1</v>
      </c>
      <c r="B33" s="20" t="s">
        <v>95</v>
      </c>
      <c r="C33" s="20" t="s">
        <v>96</v>
      </c>
      <c r="D33" s="20" t="s">
        <v>92</v>
      </c>
    </row>
    <row r="34">
      <c r="A34" s="20" t="b">
        <v>1</v>
      </c>
      <c r="B34" s="20" t="s">
        <v>97</v>
      </c>
      <c r="C34" s="20" t="s">
        <v>98</v>
      </c>
      <c r="D34" s="20" t="s">
        <v>92</v>
      </c>
    </row>
    <row r="35">
      <c r="A35" s="20" t="b">
        <v>1</v>
      </c>
      <c r="B35" s="20" t="s">
        <v>99</v>
      </c>
      <c r="D35" s="20" t="s">
        <v>92</v>
      </c>
    </row>
    <row r="36">
      <c r="A36" s="20" t="b">
        <v>1</v>
      </c>
      <c r="B36" s="20" t="s">
        <v>100</v>
      </c>
      <c r="C36" s="20" t="s">
        <v>101</v>
      </c>
      <c r="D36" s="20" t="s">
        <v>92</v>
      </c>
    </row>
    <row r="37">
      <c r="A37" s="20" t="b">
        <v>1</v>
      </c>
      <c r="B37" s="20" t="s">
        <v>102</v>
      </c>
      <c r="D37" s="20" t="s">
        <v>92</v>
      </c>
    </row>
    <row r="38">
      <c r="A38" s="20" t="b">
        <v>1</v>
      </c>
      <c r="B38" s="20" t="s">
        <v>103</v>
      </c>
      <c r="D38" s="20" t="s">
        <v>92</v>
      </c>
    </row>
    <row r="39">
      <c r="A39" s="20" t="b">
        <v>1</v>
      </c>
      <c r="B39" s="20" t="s">
        <v>104</v>
      </c>
      <c r="C39" s="20" t="s">
        <v>105</v>
      </c>
      <c r="D39" s="20" t="s">
        <v>92</v>
      </c>
    </row>
    <row r="40">
      <c r="A40" s="20" t="b">
        <v>1</v>
      </c>
      <c r="B40" s="20" t="s">
        <v>34</v>
      </c>
      <c r="C40" s="59" t="s">
        <v>106</v>
      </c>
      <c r="D40" s="20" t="s">
        <v>107</v>
      </c>
    </row>
    <row r="41">
      <c r="A41" s="20" t="b">
        <v>1</v>
      </c>
      <c r="B41" s="20" t="s">
        <v>108</v>
      </c>
      <c r="C41" s="20" t="s">
        <v>109</v>
      </c>
      <c r="D41" s="20" t="s">
        <v>107</v>
      </c>
    </row>
    <row r="42">
      <c r="A42" s="20" t="b">
        <v>1</v>
      </c>
      <c r="B42" s="20" t="s">
        <v>110</v>
      </c>
      <c r="C42" s="20" t="s">
        <v>111</v>
      </c>
      <c r="D42" s="20" t="s">
        <v>112</v>
      </c>
    </row>
    <row r="43">
      <c r="A43" s="20" t="b">
        <v>1</v>
      </c>
      <c r="B43" s="20" t="s">
        <v>113</v>
      </c>
      <c r="C43" s="20" t="s">
        <v>114</v>
      </c>
      <c r="D43" s="20" t="s">
        <v>112</v>
      </c>
    </row>
    <row r="44">
      <c r="A44" s="20" t="b">
        <v>1</v>
      </c>
      <c r="B44" s="20" t="s">
        <v>115</v>
      </c>
      <c r="C44" s="20" t="s">
        <v>116</v>
      </c>
      <c r="D44" s="20" t="s">
        <v>117</v>
      </c>
    </row>
    <row r="45">
      <c r="A45" s="20" t="b">
        <v>1</v>
      </c>
      <c r="B45" s="20" t="s">
        <v>118</v>
      </c>
      <c r="C45" s="20" t="s">
        <v>119</v>
      </c>
      <c r="D45" s="20" t="s">
        <v>120</v>
      </c>
    </row>
    <row r="46">
      <c r="A46" s="20" t="b">
        <v>1</v>
      </c>
      <c r="B46" s="20" t="s">
        <v>121</v>
      </c>
      <c r="C46" s="20" t="s">
        <v>122</v>
      </c>
      <c r="D46" s="20" t="s">
        <v>120</v>
      </c>
    </row>
    <row r="47">
      <c r="A47" s="20" t="b">
        <v>1</v>
      </c>
      <c r="B47" s="20" t="s">
        <v>123</v>
      </c>
      <c r="D47" s="20" t="s">
        <v>124</v>
      </c>
    </row>
    <row r="48">
      <c r="A48" s="20" t="b">
        <v>1</v>
      </c>
      <c r="B48" s="20" t="s">
        <v>125</v>
      </c>
      <c r="C48" s="20" t="s">
        <v>126</v>
      </c>
      <c r="D48" s="20" t="s">
        <v>124</v>
      </c>
    </row>
    <row r="49">
      <c r="A49" s="20" t="b">
        <v>1</v>
      </c>
      <c r="B49" s="20" t="s">
        <v>127</v>
      </c>
      <c r="D49" s="20" t="s">
        <v>92</v>
      </c>
    </row>
    <row r="50">
      <c r="A50" s="20" t="b">
        <v>1</v>
      </c>
      <c r="B50" s="20" t="s">
        <v>128</v>
      </c>
      <c r="D50" s="20" t="s">
        <v>129</v>
      </c>
    </row>
    <row r="51">
      <c r="A51" s="20" t="b">
        <v>1</v>
      </c>
      <c r="B51" s="20" t="s">
        <v>130</v>
      </c>
      <c r="C51" s="20"/>
      <c r="D51" s="20" t="s">
        <v>129</v>
      </c>
    </row>
    <row r="52">
      <c r="A52" s="20" t="b">
        <v>1</v>
      </c>
      <c r="B52" s="20" t="s">
        <v>131</v>
      </c>
      <c r="C52" s="20" t="s">
        <v>132</v>
      </c>
      <c r="D52" s="20" t="s">
        <v>112</v>
      </c>
    </row>
    <row r="53">
      <c r="A53" s="20" t="b">
        <v>0</v>
      </c>
    </row>
    <row r="54">
      <c r="A54" s="20" t="b">
        <v>0</v>
      </c>
    </row>
    <row r="55">
      <c r="A55" s="20" t="b">
        <v>0</v>
      </c>
    </row>
  </sheetData>
  <mergeCells count="21">
    <mergeCell ref="N16:Q16"/>
    <mergeCell ref="N17:Q17"/>
    <mergeCell ref="A18:D18"/>
    <mergeCell ref="N18:Q18"/>
    <mergeCell ref="N19:Q19"/>
    <mergeCell ref="N20:Q20"/>
    <mergeCell ref="N21:Q21"/>
    <mergeCell ref="N22:Q22"/>
    <mergeCell ref="N23:Q23"/>
    <mergeCell ref="N24:Q24"/>
    <mergeCell ref="N25:Q25"/>
    <mergeCell ref="N26:Q26"/>
    <mergeCell ref="G27:M27"/>
    <mergeCell ref="N27:Q27"/>
    <mergeCell ref="F1:H1"/>
    <mergeCell ref="I1:Q1"/>
    <mergeCell ref="J9:L9"/>
    <mergeCell ref="G14:H15"/>
    <mergeCell ref="I14:M14"/>
    <mergeCell ref="N14:Q15"/>
    <mergeCell ref="G16:G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17.14"/>
    <col customWidth="1" min="3" max="3" width="22.0"/>
    <col customWidth="1" min="4" max="4" width="16.29"/>
    <col customWidth="1" min="5" max="5" width="19.57"/>
    <col customWidth="1" min="6" max="6" width="14.14"/>
    <col customWidth="1" min="7" max="7" width="15.71"/>
    <col customWidth="1" min="8" max="8" width="22.71"/>
    <col customWidth="1" min="9" max="9" width="23.71"/>
    <col customWidth="1" min="10" max="10" width="17.0"/>
  </cols>
  <sheetData>
    <row r="1">
      <c r="A1" s="20" t="s">
        <v>133</v>
      </c>
      <c r="B1" s="20"/>
      <c r="C1" s="20"/>
      <c r="D1" s="20"/>
      <c r="E1" s="20"/>
      <c r="F1" s="20"/>
    </row>
    <row r="2">
      <c r="A2" s="20" t="s">
        <v>134</v>
      </c>
      <c r="B2" s="20" t="s">
        <v>0</v>
      </c>
      <c r="C2" s="20" t="s">
        <v>135</v>
      </c>
      <c r="D2" s="20" t="s">
        <v>136</v>
      </c>
      <c r="E2" s="20" t="s">
        <v>137</v>
      </c>
      <c r="F2" s="20" t="s">
        <v>138</v>
      </c>
      <c r="G2" s="20" t="s">
        <v>139</v>
      </c>
      <c r="H2" s="20" t="s">
        <v>140</v>
      </c>
      <c r="I2" s="20" t="s">
        <v>141</v>
      </c>
      <c r="J2" s="20" t="s">
        <v>142</v>
      </c>
      <c r="K2" s="20" t="s">
        <v>143</v>
      </c>
    </row>
    <row r="3">
      <c r="A3" s="20" t="s">
        <v>144</v>
      </c>
      <c r="B3" s="20" t="s">
        <v>145</v>
      </c>
      <c r="C3" s="20" t="s">
        <v>146</v>
      </c>
      <c r="D3" s="20">
        <v>0.0</v>
      </c>
      <c r="E3" s="20">
        <v>1.0</v>
      </c>
      <c r="F3" s="20" t="s">
        <v>147</v>
      </c>
      <c r="G3" s="20" t="s">
        <v>148</v>
      </c>
      <c r="H3" s="20" t="s">
        <v>149</v>
      </c>
      <c r="I3" s="17">
        <f>8+datos_basicos!G5+datos_basicos!D6</f>
        <v>14</v>
      </c>
      <c r="J3" s="20" t="s">
        <v>150</v>
      </c>
      <c r="K3" s="20" t="str">
        <f>CONCATENATE(FLOOR(datos_basicos!B6/5,1)+2,"d6")</f>
        <v>3d6</v>
      </c>
    </row>
    <row r="4">
      <c r="A4" s="20" t="s">
        <v>151</v>
      </c>
      <c r="B4" s="20" t="s">
        <v>152</v>
      </c>
      <c r="C4" s="20" t="s">
        <v>153</v>
      </c>
      <c r="D4" s="20">
        <v>1.0</v>
      </c>
      <c r="E4" s="17">
        <f>1+datos_basicos!G8</f>
        <v>3</v>
      </c>
      <c r="F4" s="20" t="s">
        <v>147</v>
      </c>
      <c r="G4" s="20" t="s">
        <v>154</v>
      </c>
      <c r="H4" s="20" t="s">
        <v>155</v>
      </c>
    </row>
    <row r="5">
      <c r="A5" s="20" t="s">
        <v>151</v>
      </c>
      <c r="B5" s="20" t="s">
        <v>156</v>
      </c>
      <c r="C5" s="20" t="s">
        <v>157</v>
      </c>
      <c r="D5" s="20">
        <v>1.0</v>
      </c>
      <c r="E5" s="17">
        <f>datos_basicos!B6*5</f>
        <v>40</v>
      </c>
      <c r="F5" s="20" t="s">
        <v>147</v>
      </c>
      <c r="G5" s="20" t="s">
        <v>158</v>
      </c>
      <c r="H5" s="20" t="s">
        <v>155</v>
      </c>
    </row>
    <row r="6">
      <c r="A6" s="20" t="s">
        <v>159</v>
      </c>
      <c r="B6" s="20" t="s">
        <v>160</v>
      </c>
      <c r="C6" s="20" t="s">
        <v>161</v>
      </c>
      <c r="D6" s="20">
        <v>3.0</v>
      </c>
      <c r="E6" s="20">
        <v>1.0</v>
      </c>
      <c r="F6" s="20" t="s">
        <v>147</v>
      </c>
      <c r="G6" s="20" t="s">
        <v>154</v>
      </c>
      <c r="H6" s="20" t="s">
        <v>149</v>
      </c>
      <c r="I6" s="20" t="s">
        <v>162</v>
      </c>
      <c r="J6" s="20" t="s">
        <v>163</v>
      </c>
    </row>
    <row r="7">
      <c r="A7" s="20" t="s">
        <v>159</v>
      </c>
      <c r="B7" s="20" t="s">
        <v>164</v>
      </c>
      <c r="C7" s="20" t="s">
        <v>165</v>
      </c>
      <c r="D7" s="20">
        <v>3.0</v>
      </c>
      <c r="E7" s="20">
        <v>1.0</v>
      </c>
      <c r="F7" s="20" t="s">
        <v>166</v>
      </c>
      <c r="G7" s="20" t="s">
        <v>167</v>
      </c>
      <c r="H7" s="20" t="s">
        <v>149</v>
      </c>
    </row>
    <row r="8">
      <c r="A8" s="20" t="s">
        <v>168</v>
      </c>
      <c r="B8" s="20" t="s">
        <v>169</v>
      </c>
      <c r="C8" s="20" t="s">
        <v>170</v>
      </c>
      <c r="D8" s="20">
        <v>7.0</v>
      </c>
      <c r="E8" s="20" t="s">
        <v>171</v>
      </c>
      <c r="F8" s="20" t="s">
        <v>172</v>
      </c>
      <c r="G8" s="20" t="s">
        <v>173</v>
      </c>
      <c r="H8" s="20" t="s">
        <v>174</v>
      </c>
    </row>
    <row r="10">
      <c r="A10" s="24" t="s">
        <v>175</v>
      </c>
      <c r="B10" s="77">
        <f>datos_basicos!G3</f>
        <v>3</v>
      </c>
      <c r="C10" s="25" t="s">
        <v>176</v>
      </c>
      <c r="D10" s="77">
        <f>datos_basicos!D6+datos_basicos!G3</f>
        <v>6</v>
      </c>
      <c r="E10" s="25" t="s">
        <v>177</v>
      </c>
      <c r="F10" s="78">
        <v>2.0</v>
      </c>
    </row>
    <row r="11">
      <c r="A11" s="27" t="s">
        <v>178</v>
      </c>
      <c r="B11" s="76" t="s">
        <v>179</v>
      </c>
      <c r="C11" s="76" t="s">
        <v>180</v>
      </c>
      <c r="D11" s="76" t="s">
        <v>181</v>
      </c>
      <c r="E11" s="76" t="s">
        <v>182</v>
      </c>
      <c r="F11" s="79" t="s">
        <v>16</v>
      </c>
    </row>
    <row r="12">
      <c r="A12" s="20" t="s">
        <v>77</v>
      </c>
      <c r="B12" s="17" t="str">
        <f>concatenate("1d20+",$D$10)</f>
        <v>1d20+6</v>
      </c>
      <c r="C12" s="17" t="str">
        <f>concatenate("1+",$B$10)</f>
        <v>1+3</v>
      </c>
      <c r="D12" s="20" t="s">
        <v>183</v>
      </c>
      <c r="E12" s="20" t="s">
        <v>184</v>
      </c>
    </row>
    <row r="13">
      <c r="A13" s="20" t="s">
        <v>185</v>
      </c>
      <c r="B13" s="17" t="str">
        <f t="shared" ref="B13:B14" si="1">CONCATENATE("1d20+",$D$10)</f>
        <v>1d20+6</v>
      </c>
      <c r="C13" s="17" t="str">
        <f>CONCATENATE("1+",$B$10)</f>
        <v>1+3</v>
      </c>
      <c r="D13" s="20" t="s">
        <v>186</v>
      </c>
      <c r="E13" s="20" t="s">
        <v>187</v>
      </c>
    </row>
    <row r="14">
      <c r="A14" s="20" t="s">
        <v>188</v>
      </c>
      <c r="B14" s="17" t="str">
        <f t="shared" si="1"/>
        <v>1d20+6</v>
      </c>
      <c r="C14" s="17" t="str">
        <f>CONCATENATE("1d4+",$B$10)</f>
        <v>1d4+3</v>
      </c>
      <c r="D14" s="20" t="s">
        <v>186</v>
      </c>
      <c r="E14" s="20" t="s">
        <v>187</v>
      </c>
    </row>
    <row r="15">
      <c r="A15" s="20" t="s">
        <v>189</v>
      </c>
      <c r="B15" s="17" t="str">
        <f t="shared" ref="B15:B18" si="2">concatenate("1d20+",$D$10)</f>
        <v>1d20+6</v>
      </c>
      <c r="C15" s="17" t="str">
        <f>concatenate("1d8+",$B$10)</f>
        <v>1d8+3</v>
      </c>
      <c r="D15" s="20" t="s">
        <v>190</v>
      </c>
      <c r="E15" s="20" t="s">
        <v>184</v>
      </c>
    </row>
    <row r="16">
      <c r="A16" s="20" t="s">
        <v>191</v>
      </c>
      <c r="B16" s="17" t="str">
        <f t="shared" si="2"/>
        <v>1d20+6</v>
      </c>
      <c r="C16" s="17" t="str">
        <f t="shared" ref="C16:C17" si="3">concatenate("2d6+",$B$10)</f>
        <v>2d6+3</v>
      </c>
      <c r="D16" s="20" t="s">
        <v>190</v>
      </c>
      <c r="E16" s="20" t="s">
        <v>184</v>
      </c>
    </row>
    <row r="17">
      <c r="A17" s="20" t="s">
        <v>74</v>
      </c>
      <c r="B17" s="17" t="str">
        <f t="shared" si="2"/>
        <v>1d20+6</v>
      </c>
      <c r="C17" s="17" t="str">
        <f t="shared" si="3"/>
        <v>2d6+3</v>
      </c>
      <c r="D17" s="20" t="s">
        <v>192</v>
      </c>
      <c r="E17" s="20" t="s">
        <v>184</v>
      </c>
    </row>
    <row r="18">
      <c r="A18" s="20" t="s">
        <v>76</v>
      </c>
      <c r="B18" s="17" t="str">
        <f t="shared" si="2"/>
        <v>1d20+6</v>
      </c>
      <c r="C18" s="17" t="str">
        <f>concatenate("1d12+3+",$B$10)</f>
        <v>1d12+3+3</v>
      </c>
      <c r="D18" s="20" t="s">
        <v>190</v>
      </c>
      <c r="E18" s="20" t="s">
        <v>184</v>
      </c>
      <c r="F18" s="20" t="s">
        <v>193</v>
      </c>
    </row>
    <row r="19">
      <c r="A19" s="20" t="s">
        <v>69</v>
      </c>
      <c r="B19" s="17" t="str">
        <f>concatenate("1d20+2+",$D$10)</f>
        <v>1d20+2+6</v>
      </c>
      <c r="C19" s="17" t="str">
        <f>concatenate("1d8+2+",$B$10)</f>
        <v>1d8+2+3</v>
      </c>
      <c r="D19" s="20" t="s">
        <v>190</v>
      </c>
      <c r="E19" s="20" t="s">
        <v>184</v>
      </c>
      <c r="F19" s="20" t="s">
        <v>194</v>
      </c>
    </row>
    <row r="20">
      <c r="A20" s="20" t="s">
        <v>195</v>
      </c>
      <c r="B20" s="17" t="str">
        <f t="shared" ref="B20:B22" si="4">concatenate("1d20+",$D$10)</f>
        <v>1d20+6</v>
      </c>
      <c r="C20" s="17" t="str">
        <f t="shared" ref="C20:C22" si="5">concatenate("1d6+",$B$10)</f>
        <v>1d6+3</v>
      </c>
      <c r="D20" s="20" t="s">
        <v>186</v>
      </c>
      <c r="E20" s="20" t="s">
        <v>187</v>
      </c>
    </row>
    <row r="21">
      <c r="A21" s="20" t="s">
        <v>196</v>
      </c>
      <c r="B21" s="17" t="str">
        <f t="shared" si="4"/>
        <v>1d20+6</v>
      </c>
      <c r="C21" s="17" t="str">
        <f t="shared" si="5"/>
        <v>1d6+3</v>
      </c>
      <c r="D21" s="20" t="s">
        <v>197</v>
      </c>
      <c r="E21" s="20" t="s">
        <v>187</v>
      </c>
      <c r="F21" s="20" t="s">
        <v>198</v>
      </c>
    </row>
    <row r="22">
      <c r="A22" s="20" t="s">
        <v>128</v>
      </c>
      <c r="B22" s="17" t="str">
        <f t="shared" si="4"/>
        <v>1d20+6</v>
      </c>
      <c r="C22" s="17" t="str">
        <f t="shared" si="5"/>
        <v>1d6+3</v>
      </c>
      <c r="D22" s="20" t="s">
        <v>197</v>
      </c>
      <c r="E22" s="20" t="s">
        <v>187</v>
      </c>
      <c r="F22" s="20" t="s">
        <v>199</v>
      </c>
    </row>
    <row r="23">
      <c r="A23" s="20" t="s">
        <v>130</v>
      </c>
      <c r="D23" s="20"/>
      <c r="E23" s="20"/>
      <c r="F23" s="20" t="s">
        <v>200</v>
      </c>
    </row>
    <row r="24">
      <c r="A24" s="20" t="s">
        <v>201</v>
      </c>
      <c r="B24" s="17" t="str">
        <f>concatenate("1d20+",$D$10)</f>
        <v>1d20+6</v>
      </c>
      <c r="C24" s="17" t="str">
        <f>concatenate("1d6+",$B$10)</f>
        <v>1d6+3</v>
      </c>
      <c r="D24" s="20" t="s">
        <v>186</v>
      </c>
      <c r="E24" s="20" t="s">
        <v>182</v>
      </c>
    </row>
    <row r="26">
      <c r="A26" s="24" t="s">
        <v>202</v>
      </c>
      <c r="B26" s="77">
        <f>datos_basicos!G8</f>
        <v>2</v>
      </c>
      <c r="C26" s="25" t="s">
        <v>203</v>
      </c>
      <c r="D26" s="77">
        <f>datos_basicos!D6+datos_basicos!G8</f>
        <v>5</v>
      </c>
      <c r="E26" s="25" t="s">
        <v>204</v>
      </c>
      <c r="F26" s="78">
        <f>8+datos_basicos!D6+datos_basicos!G8</f>
        <v>13</v>
      </c>
    </row>
    <row r="27">
      <c r="A27" s="27" t="s">
        <v>205</v>
      </c>
      <c r="B27" s="76" t="s">
        <v>206</v>
      </c>
      <c r="C27" s="76" t="s">
        <v>55</v>
      </c>
      <c r="D27" s="76" t="s">
        <v>50</v>
      </c>
      <c r="E27" s="76" t="s">
        <v>207</v>
      </c>
      <c r="F27" s="79" t="s">
        <v>16</v>
      </c>
    </row>
    <row r="28">
      <c r="A28" s="42" t="s">
        <v>208</v>
      </c>
      <c r="B28" s="20" t="s">
        <v>209</v>
      </c>
      <c r="C28" s="20">
        <v>2.0</v>
      </c>
      <c r="D28" s="20">
        <v>1.0</v>
      </c>
      <c r="E28" s="20" t="s">
        <v>210</v>
      </c>
      <c r="F28" s="80" t="s">
        <v>211</v>
      </c>
    </row>
    <row r="29">
      <c r="A29" s="42" t="s">
        <v>212</v>
      </c>
      <c r="C29" s="20">
        <v>3.0</v>
      </c>
      <c r="F29" s="18"/>
    </row>
    <row r="30">
      <c r="A30" s="42" t="s">
        <v>213</v>
      </c>
      <c r="C30" s="20">
        <v>3.0</v>
      </c>
      <c r="F30" s="18"/>
    </row>
    <row r="31">
      <c r="A31" s="42" t="s">
        <v>214</v>
      </c>
      <c r="C31" s="20">
        <v>5.0</v>
      </c>
      <c r="F31" s="18"/>
    </row>
    <row r="32">
      <c r="A32" s="42" t="s">
        <v>215</v>
      </c>
      <c r="C32" s="20">
        <v>5.0</v>
      </c>
      <c r="F32" s="18"/>
    </row>
    <row r="33">
      <c r="A33" s="81" t="s">
        <v>216</v>
      </c>
      <c r="C33" s="20">
        <v>9.0</v>
      </c>
      <c r="F33" s="18"/>
    </row>
    <row r="34">
      <c r="A34" s="81" t="s">
        <v>217</v>
      </c>
      <c r="C34" s="20">
        <v>9.0</v>
      </c>
      <c r="F34" s="18"/>
    </row>
    <row r="35">
      <c r="A35" s="81" t="s">
        <v>218</v>
      </c>
      <c r="C35" s="20">
        <v>13.0</v>
      </c>
      <c r="F35" s="18"/>
    </row>
    <row r="36">
      <c r="A36" s="81" t="s">
        <v>219</v>
      </c>
      <c r="C36" s="20">
        <v>13.0</v>
      </c>
      <c r="F36" s="18"/>
    </row>
    <row r="37">
      <c r="A37" s="81" t="s">
        <v>220</v>
      </c>
      <c r="C37" s="20">
        <v>17.0</v>
      </c>
      <c r="F37" s="18"/>
    </row>
    <row r="38">
      <c r="A38" s="82" t="s">
        <v>221</v>
      </c>
      <c r="B38" s="32"/>
      <c r="C38" s="9">
        <v>17.0</v>
      </c>
      <c r="D38" s="32"/>
      <c r="E38" s="32"/>
      <c r="F38" s="30"/>
    </row>
    <row r="39">
      <c r="A39" s="27" t="str">
        <f>concatenate("Chosen Spells (",datos_basicos!N27,")")</f>
        <v>Chosen Spells (6)</v>
      </c>
      <c r="B39" s="76" t="s">
        <v>50</v>
      </c>
      <c r="C39" s="76" t="s">
        <v>222</v>
      </c>
      <c r="D39" s="76" t="s">
        <v>223</v>
      </c>
      <c r="E39" s="76" t="s">
        <v>207</v>
      </c>
      <c r="F39" s="79" t="s">
        <v>224</v>
      </c>
    </row>
    <row r="40">
      <c r="A40" s="20" t="s">
        <v>225</v>
      </c>
      <c r="B40" s="17">
        <f>VLOOKUP($A40,spells_list!$B$2:$H$55,COLUMN(),False)</f>
        <v>1</v>
      </c>
      <c r="C40" s="17" t="str">
        <f>VLOOKUP($A40,spells_list!$B$2:$H$55,COLUMN(),False)</f>
        <v>1 Action</v>
      </c>
      <c r="D40" s="17" t="str">
        <f>VLOOKUP($A40,spells_list!$B$2:$H$55,COLUMN(),False)</f>
        <v>30 feet</v>
      </c>
      <c r="E40" s="17" t="str">
        <f>VLOOKUP($A40,spells_list!$B$2:$H$55,COLUMN(),False)</f>
        <v/>
      </c>
      <c r="F40" s="17" t="str">
        <f>VLOOKUP($A40,spells_list!$B$2:$H$55,COLUMN(),False)</f>
        <v>Concentration, up to 1 minute</v>
      </c>
    </row>
    <row r="41">
      <c r="A41" s="20" t="s">
        <v>226</v>
      </c>
      <c r="B41" s="17">
        <f>VLOOKUP($A41,spells_list!$B$2:$H$55,COLUMN(),False)</f>
        <v>1</v>
      </c>
      <c r="C41" s="17" t="str">
        <f>VLOOKUP($A41,spells_list!$B$2:$H$55,COLUMN(),False)</f>
        <v>1 Bonus Action</v>
      </c>
      <c r="D41" s="17" t="str">
        <f>VLOOKUP($A41,spells_list!$B$2:$H$55,COLUMN(),False)</f>
        <v>Self</v>
      </c>
      <c r="E41" s="17" t="str">
        <f>VLOOKUP($A41,spells_list!$B$2:$H$55,COLUMN(),False)</f>
        <v/>
      </c>
      <c r="F41" s="17" t="str">
        <f>VLOOKUP($A41,spells_list!$B$2:$H$55,COLUMN(),False)</f>
        <v>Concentration, up to 1 minute</v>
      </c>
    </row>
    <row r="42">
      <c r="A42" s="83" t="s">
        <v>227</v>
      </c>
      <c r="B42" s="17">
        <f>VLOOKUP($A42,spells_list!$B$2:$H$55,COLUMN(),False)</f>
        <v>1</v>
      </c>
      <c r="C42" s="17" t="str">
        <f>VLOOKUP($A42,spells_list!$B$2:$H$55,COLUMN(),False)</f>
        <v>1 Bonus Action</v>
      </c>
      <c r="D42" s="17" t="str">
        <f>VLOOKUP($A42,spells_list!$B$2:$H$55,COLUMN(),False)</f>
        <v>Self</v>
      </c>
      <c r="E42" s="17" t="str">
        <f>VLOOKUP($A42,spells_list!$B$2:$H$55,COLUMN(),False)</f>
        <v/>
      </c>
      <c r="F42" s="17" t="str">
        <f>VLOOKUP($A42,spells_list!$B$2:$H$55,COLUMN(),False)</f>
        <v>Concentration, up to 1 minute</v>
      </c>
    </row>
    <row r="43">
      <c r="A43" s="83" t="s">
        <v>228</v>
      </c>
      <c r="B43" s="17">
        <f>VLOOKUP($A43,spells_list!$B$2:$H$55,COLUMN(),False)</f>
        <v>2</v>
      </c>
      <c r="C43" s="17" t="str">
        <f>VLOOKUP($A43,spells_list!$B$2:$H$55,COLUMN(),False)</f>
        <v>10 Minutes</v>
      </c>
      <c r="D43" s="17" t="str">
        <f>VLOOKUP($A43,spells_list!$B$2:$H$55,COLUMN(),False)</f>
        <v>30 feet</v>
      </c>
      <c r="E43" s="17" t="str">
        <f>VLOOKUP($A43,spells_list!$B$2:$H$55,COLUMN(),False)</f>
        <v/>
      </c>
      <c r="F43" s="17" t="str">
        <f>VLOOKUP($A43,spells_list!$B$2:$H$55,COLUMN(),False)</f>
        <v>Instantaneous</v>
      </c>
    </row>
    <row r="44">
      <c r="A44" s="84" t="s">
        <v>229</v>
      </c>
      <c r="B44" s="17">
        <f>VLOOKUP($A44,spells_list!$B$2:$H$55,COLUMN(),False)</f>
        <v>1</v>
      </c>
      <c r="C44" s="17" t="str">
        <f>VLOOKUP($A44,spells_list!$B$2:$H$55,COLUMN(),False)</f>
        <v>1 Bonus Action</v>
      </c>
      <c r="D44" s="17" t="str">
        <f>VLOOKUP($A44,spells_list!$B$2:$H$55,COLUMN(),False)</f>
        <v>30 feet</v>
      </c>
      <c r="E44" s="17" t="str">
        <f>VLOOKUP($A44,spells_list!$B$2:$H$55,COLUMN(),False)</f>
        <v/>
      </c>
      <c r="F44" s="17" t="str">
        <f>VLOOKUP($A44,spells_list!$B$2:$H$55,COLUMN(),False)</f>
        <v>Concentration, up to 1 minute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9.29"/>
    <col customWidth="1" min="3" max="3" width="9.29"/>
    <col customWidth="1" min="5" max="5" width="17.14"/>
    <col customWidth="1" min="6" max="6" width="19.43"/>
    <col customWidth="1" min="7" max="7" width="31.29"/>
    <col customWidth="1" min="8" max="8" width="16.86"/>
  </cols>
  <sheetData>
    <row r="1">
      <c r="A1" s="85" t="s">
        <v>230</v>
      </c>
      <c r="B1" s="85" t="s">
        <v>231</v>
      </c>
      <c r="C1" s="85" t="s">
        <v>232</v>
      </c>
      <c r="D1" s="85" t="s">
        <v>222</v>
      </c>
      <c r="E1" s="85" t="s">
        <v>223</v>
      </c>
      <c r="F1" s="85" t="s">
        <v>206</v>
      </c>
      <c r="G1" s="85" t="s">
        <v>224</v>
      </c>
      <c r="H1" s="85" t="s">
        <v>233</v>
      </c>
      <c r="I1" s="85" t="s">
        <v>234</v>
      </c>
    </row>
    <row r="2">
      <c r="A2" s="20" t="b">
        <v>0</v>
      </c>
      <c r="B2" s="86" t="s">
        <v>225</v>
      </c>
      <c r="C2" s="87">
        <v>1.0</v>
      </c>
      <c r="D2" s="87" t="s">
        <v>235</v>
      </c>
      <c r="E2" s="87" t="s">
        <v>236</v>
      </c>
      <c r="G2" s="87" t="s">
        <v>237</v>
      </c>
      <c r="H2" s="87" t="s">
        <v>238</v>
      </c>
      <c r="I2" s="87" t="s">
        <v>239</v>
      </c>
    </row>
    <row r="3">
      <c r="A3" s="20" t="b">
        <v>0</v>
      </c>
      <c r="B3" s="86" t="s">
        <v>240</v>
      </c>
      <c r="C3" s="87">
        <v>1.0</v>
      </c>
      <c r="D3" s="87" t="s">
        <v>241</v>
      </c>
      <c r="E3" s="87" t="s">
        <v>242</v>
      </c>
      <c r="G3" s="87" t="s">
        <v>243</v>
      </c>
      <c r="H3" s="87" t="s">
        <v>238</v>
      </c>
      <c r="I3" s="87" t="s">
        <v>244</v>
      </c>
    </row>
    <row r="4">
      <c r="A4" s="20" t="b">
        <v>0</v>
      </c>
      <c r="B4" s="86" t="s">
        <v>245</v>
      </c>
      <c r="C4" s="87">
        <v>1.0</v>
      </c>
      <c r="D4" s="87" t="s">
        <v>235</v>
      </c>
      <c r="E4" s="87" t="s">
        <v>246</v>
      </c>
      <c r="G4" s="87" t="s">
        <v>247</v>
      </c>
      <c r="H4" s="87" t="s">
        <v>248</v>
      </c>
      <c r="I4" s="87" t="s">
        <v>239</v>
      </c>
    </row>
    <row r="5">
      <c r="A5" s="20" t="b">
        <v>1</v>
      </c>
      <c r="B5" s="86" t="s">
        <v>229</v>
      </c>
      <c r="C5" s="87">
        <v>1.0</v>
      </c>
      <c r="D5" s="87" t="s">
        <v>249</v>
      </c>
      <c r="E5" s="87" t="s">
        <v>236</v>
      </c>
      <c r="G5" s="87" t="s">
        <v>237</v>
      </c>
      <c r="H5" s="87" t="s">
        <v>248</v>
      </c>
      <c r="I5" s="87" t="s">
        <v>239</v>
      </c>
    </row>
    <row r="6">
      <c r="A6" s="20" t="b">
        <v>0</v>
      </c>
      <c r="B6" s="86" t="s">
        <v>250</v>
      </c>
      <c r="C6" s="87">
        <v>1.0</v>
      </c>
      <c r="D6" s="87" t="s">
        <v>235</v>
      </c>
      <c r="E6" s="87" t="s">
        <v>242</v>
      </c>
      <c r="G6" s="87" t="s">
        <v>243</v>
      </c>
      <c r="H6" s="87" t="s">
        <v>251</v>
      </c>
      <c r="I6" s="87" t="s">
        <v>244</v>
      </c>
    </row>
    <row r="7">
      <c r="A7" s="20" t="b">
        <v>0</v>
      </c>
      <c r="B7" s="86" t="s">
        <v>252</v>
      </c>
      <c r="C7" s="87">
        <v>1.0</v>
      </c>
      <c r="D7" s="87" t="s">
        <v>235</v>
      </c>
      <c r="E7" s="87" t="s">
        <v>253</v>
      </c>
      <c r="G7" s="87" t="s">
        <v>254</v>
      </c>
      <c r="H7" s="87" t="s">
        <v>251</v>
      </c>
      <c r="I7" s="87" t="s">
        <v>255</v>
      </c>
    </row>
    <row r="8">
      <c r="A8" s="20" t="b">
        <v>0</v>
      </c>
      <c r="B8" s="86" t="s">
        <v>256</v>
      </c>
      <c r="C8" s="87">
        <v>1.0</v>
      </c>
      <c r="D8" s="87" t="s">
        <v>241</v>
      </c>
      <c r="E8" s="87" t="s">
        <v>253</v>
      </c>
      <c r="G8" s="87" t="s">
        <v>254</v>
      </c>
      <c r="H8" s="87" t="s">
        <v>251</v>
      </c>
      <c r="I8" s="87" t="s">
        <v>255</v>
      </c>
    </row>
    <row r="9">
      <c r="A9" s="20" t="b">
        <v>0</v>
      </c>
      <c r="B9" s="86" t="s">
        <v>257</v>
      </c>
      <c r="C9" s="87">
        <v>1.0</v>
      </c>
      <c r="D9" s="87" t="s">
        <v>235</v>
      </c>
      <c r="E9" s="87" t="s">
        <v>253</v>
      </c>
      <c r="G9" s="87" t="s">
        <v>254</v>
      </c>
      <c r="H9" s="87" t="s">
        <v>238</v>
      </c>
      <c r="I9" s="87" t="s">
        <v>255</v>
      </c>
    </row>
    <row r="10">
      <c r="A10" s="20" t="b">
        <v>1</v>
      </c>
      <c r="B10" s="86" t="s">
        <v>258</v>
      </c>
      <c r="C10" s="87">
        <v>1.0</v>
      </c>
      <c r="D10" s="87" t="s">
        <v>249</v>
      </c>
      <c r="E10" s="87" t="s">
        <v>253</v>
      </c>
      <c r="G10" s="87" t="s">
        <v>237</v>
      </c>
      <c r="H10" s="87" t="s">
        <v>251</v>
      </c>
      <c r="I10" s="87" t="s">
        <v>244</v>
      </c>
    </row>
    <row r="11">
      <c r="A11" s="20" t="b">
        <v>0</v>
      </c>
      <c r="B11" s="86" t="s">
        <v>259</v>
      </c>
      <c r="C11" s="87">
        <v>1.0</v>
      </c>
      <c r="D11" s="87" t="s">
        <v>235</v>
      </c>
      <c r="E11" s="87" t="s">
        <v>242</v>
      </c>
      <c r="G11" s="87" t="s">
        <v>237</v>
      </c>
      <c r="H11" s="87" t="s">
        <v>251</v>
      </c>
      <c r="I11" s="87" t="s">
        <v>239</v>
      </c>
    </row>
    <row r="12">
      <c r="A12" s="20" t="b">
        <v>0</v>
      </c>
      <c r="B12" s="86" t="s">
        <v>260</v>
      </c>
      <c r="C12" s="87">
        <v>1.0</v>
      </c>
      <c r="D12" s="87" t="s">
        <v>235</v>
      </c>
      <c r="E12" s="87" t="s">
        <v>242</v>
      </c>
      <c r="G12" s="87" t="s">
        <v>254</v>
      </c>
      <c r="H12" s="87" t="s">
        <v>238</v>
      </c>
      <c r="I12" s="87" t="s">
        <v>261</v>
      </c>
    </row>
    <row r="13">
      <c r="A13" s="20" t="b">
        <v>0</v>
      </c>
      <c r="B13" s="86" t="s">
        <v>262</v>
      </c>
      <c r="C13" s="87">
        <v>1.0</v>
      </c>
      <c r="D13" s="87" t="s">
        <v>241</v>
      </c>
      <c r="E13" s="87" t="s">
        <v>263</v>
      </c>
      <c r="G13" s="87" t="s">
        <v>243</v>
      </c>
      <c r="H13" s="87" t="s">
        <v>251</v>
      </c>
      <c r="I13" s="87" t="s">
        <v>264</v>
      </c>
    </row>
    <row r="14">
      <c r="A14" s="20" t="b">
        <v>0</v>
      </c>
      <c r="B14" s="86" t="s">
        <v>265</v>
      </c>
      <c r="C14" s="87">
        <v>1.0</v>
      </c>
      <c r="D14" s="87" t="s">
        <v>249</v>
      </c>
      <c r="E14" s="87" t="s">
        <v>253</v>
      </c>
      <c r="G14" s="87" t="s">
        <v>237</v>
      </c>
      <c r="H14" s="87" t="s">
        <v>248</v>
      </c>
      <c r="I14" s="87" t="s">
        <v>244</v>
      </c>
    </row>
    <row r="15">
      <c r="A15" s="20" t="b">
        <v>0</v>
      </c>
      <c r="B15" s="86" t="s">
        <v>266</v>
      </c>
      <c r="C15" s="87">
        <v>1.0</v>
      </c>
      <c r="D15" s="87" t="s">
        <v>249</v>
      </c>
      <c r="E15" s="87" t="s">
        <v>246</v>
      </c>
      <c r="G15" s="87" t="s">
        <v>237</v>
      </c>
      <c r="H15" s="87" t="s">
        <v>238</v>
      </c>
      <c r="I15" s="87" t="s">
        <v>261</v>
      </c>
    </row>
    <row r="16">
      <c r="A16" s="20" t="b">
        <v>1</v>
      </c>
      <c r="B16" s="86" t="s">
        <v>227</v>
      </c>
      <c r="C16" s="87">
        <v>1.0</v>
      </c>
      <c r="D16" s="87" t="s">
        <v>249</v>
      </c>
      <c r="E16" s="87" t="s">
        <v>253</v>
      </c>
      <c r="G16" s="87" t="s">
        <v>237</v>
      </c>
      <c r="H16" s="87" t="s">
        <v>248</v>
      </c>
      <c r="I16" s="87" t="s">
        <v>244</v>
      </c>
    </row>
    <row r="17">
      <c r="A17" s="20" t="b">
        <v>0</v>
      </c>
      <c r="B17" s="86" t="s">
        <v>267</v>
      </c>
      <c r="C17" s="87">
        <v>1.0</v>
      </c>
      <c r="D17" s="87" t="s">
        <v>249</v>
      </c>
      <c r="E17" s="87" t="s">
        <v>253</v>
      </c>
      <c r="G17" s="87" t="s">
        <v>237</v>
      </c>
      <c r="H17" s="87" t="s">
        <v>248</v>
      </c>
      <c r="I17" s="87" t="s">
        <v>244</v>
      </c>
    </row>
    <row r="18">
      <c r="A18" s="20" t="b">
        <v>0</v>
      </c>
      <c r="B18" s="86" t="s">
        <v>268</v>
      </c>
      <c r="C18" s="20">
        <v>2.0</v>
      </c>
      <c r="D18" s="87" t="s">
        <v>235</v>
      </c>
      <c r="E18" s="87" t="s">
        <v>269</v>
      </c>
      <c r="G18" s="87" t="s">
        <v>270</v>
      </c>
      <c r="H18" s="87" t="s">
        <v>238</v>
      </c>
      <c r="I18" s="87" t="s">
        <v>261</v>
      </c>
    </row>
    <row r="19">
      <c r="A19" s="20" t="b">
        <v>0</v>
      </c>
      <c r="B19" s="86" t="s">
        <v>271</v>
      </c>
      <c r="C19" s="20">
        <v>2.0</v>
      </c>
      <c r="D19" s="87" t="s">
        <v>249</v>
      </c>
      <c r="E19" s="87" t="s">
        <v>253</v>
      </c>
      <c r="G19" s="87" t="s">
        <v>237</v>
      </c>
      <c r="H19" s="87" t="s">
        <v>248</v>
      </c>
      <c r="I19" s="87" t="s">
        <v>244</v>
      </c>
    </row>
    <row r="20">
      <c r="A20" s="20" t="b">
        <v>1</v>
      </c>
      <c r="B20" s="86" t="s">
        <v>228</v>
      </c>
      <c r="C20" s="20">
        <v>2.0</v>
      </c>
      <c r="D20" s="87" t="s">
        <v>272</v>
      </c>
      <c r="E20" s="87" t="s">
        <v>236</v>
      </c>
      <c r="G20" s="87" t="s">
        <v>243</v>
      </c>
      <c r="H20" s="87" t="s">
        <v>251</v>
      </c>
      <c r="I20" s="87" t="s">
        <v>273</v>
      </c>
    </row>
    <row r="21">
      <c r="A21" s="20" t="b">
        <v>0</v>
      </c>
      <c r="B21" s="86" t="s">
        <v>274</v>
      </c>
      <c r="C21" s="20">
        <v>2.0</v>
      </c>
      <c r="D21" s="87" t="s">
        <v>272</v>
      </c>
      <c r="E21" s="87" t="s">
        <v>236</v>
      </c>
      <c r="G21" s="87" t="s">
        <v>270</v>
      </c>
      <c r="H21" s="87" t="s">
        <v>251</v>
      </c>
      <c r="I21" s="87" t="s">
        <v>275</v>
      </c>
    </row>
    <row r="22">
      <c r="A22" s="20" t="b">
        <v>0</v>
      </c>
      <c r="B22" s="86" t="s">
        <v>276</v>
      </c>
      <c r="C22" s="20">
        <v>2.0</v>
      </c>
      <c r="D22" s="87" t="s">
        <v>241</v>
      </c>
      <c r="E22" s="87" t="s">
        <v>242</v>
      </c>
      <c r="G22" s="87" t="s">
        <v>277</v>
      </c>
      <c r="H22" s="87" t="s">
        <v>238</v>
      </c>
      <c r="I22" s="87" t="s">
        <v>278</v>
      </c>
    </row>
    <row r="23">
      <c r="A23" s="20" t="b">
        <v>0</v>
      </c>
      <c r="B23" s="86" t="s">
        <v>279</v>
      </c>
      <c r="C23" s="20">
        <v>2.0</v>
      </c>
      <c r="D23" s="87" t="s">
        <v>235</v>
      </c>
      <c r="E23" s="87" t="s">
        <v>242</v>
      </c>
      <c r="G23" s="87" t="s">
        <v>243</v>
      </c>
      <c r="H23" s="87" t="s">
        <v>251</v>
      </c>
      <c r="I23" s="87" t="s">
        <v>261</v>
      </c>
    </row>
    <row r="24">
      <c r="A24" s="20" t="b">
        <v>1</v>
      </c>
      <c r="B24" s="86" t="s">
        <v>280</v>
      </c>
      <c r="C24" s="20">
        <v>2.0</v>
      </c>
      <c r="D24" s="87" t="s">
        <v>235</v>
      </c>
      <c r="E24" s="87" t="s">
        <v>253</v>
      </c>
      <c r="G24" s="87" t="s">
        <v>254</v>
      </c>
      <c r="H24" s="87" t="s">
        <v>238</v>
      </c>
      <c r="I24" s="87" t="s">
        <v>255</v>
      </c>
    </row>
    <row r="25">
      <c r="A25" s="20" t="b">
        <v>0</v>
      </c>
      <c r="B25" s="86" t="s">
        <v>281</v>
      </c>
      <c r="C25" s="20">
        <v>2.0</v>
      </c>
      <c r="D25" s="87" t="s">
        <v>249</v>
      </c>
      <c r="E25" s="87" t="s">
        <v>242</v>
      </c>
      <c r="G25" s="87" t="s">
        <v>282</v>
      </c>
      <c r="H25" s="87" t="s">
        <v>251</v>
      </c>
      <c r="I25" s="87" t="s">
        <v>264</v>
      </c>
    </row>
    <row r="26">
      <c r="A26" s="20" t="b">
        <v>0</v>
      </c>
      <c r="B26" s="88" t="s">
        <v>283</v>
      </c>
      <c r="C26" s="20">
        <v>2.0</v>
      </c>
      <c r="D26" s="87" t="s">
        <v>272</v>
      </c>
      <c r="E26" s="87" t="s">
        <v>236</v>
      </c>
      <c r="G26" s="87" t="s">
        <v>243</v>
      </c>
      <c r="H26" s="87" t="s">
        <v>248</v>
      </c>
      <c r="I26" s="87" t="s">
        <v>244</v>
      </c>
    </row>
    <row r="27">
      <c r="A27" s="20" t="b">
        <v>0</v>
      </c>
      <c r="B27" s="86" t="s">
        <v>284</v>
      </c>
      <c r="C27" s="20">
        <v>2.0</v>
      </c>
      <c r="D27" s="87" t="s">
        <v>235</v>
      </c>
      <c r="E27" s="87" t="s">
        <v>242</v>
      </c>
      <c r="G27" s="87" t="s">
        <v>285</v>
      </c>
      <c r="H27" s="87" t="s">
        <v>251</v>
      </c>
      <c r="I27" s="87" t="s">
        <v>261</v>
      </c>
    </row>
    <row r="28">
      <c r="A28" s="20" t="b">
        <v>0</v>
      </c>
      <c r="B28" s="86" t="s">
        <v>286</v>
      </c>
      <c r="C28" s="20">
        <v>2.0</v>
      </c>
      <c r="D28" s="87" t="s">
        <v>235</v>
      </c>
      <c r="E28" s="87" t="s">
        <v>242</v>
      </c>
      <c r="G28" s="87" t="s">
        <v>285</v>
      </c>
      <c r="H28" s="87" t="s">
        <v>238</v>
      </c>
      <c r="I28" s="87" t="s">
        <v>261</v>
      </c>
    </row>
    <row r="29">
      <c r="A29" s="20" t="b">
        <v>0</v>
      </c>
      <c r="B29" s="86" t="s">
        <v>287</v>
      </c>
      <c r="C29" s="20">
        <v>2.0</v>
      </c>
      <c r="D29" s="87" t="s">
        <v>235</v>
      </c>
      <c r="E29" s="87" t="s">
        <v>246</v>
      </c>
      <c r="G29" s="87" t="s">
        <v>288</v>
      </c>
      <c r="H29" s="87" t="s">
        <v>251</v>
      </c>
      <c r="I29" s="87" t="s">
        <v>239</v>
      </c>
    </row>
    <row r="30">
      <c r="A30" s="20" t="b">
        <v>0</v>
      </c>
      <c r="B30" s="86" t="s">
        <v>289</v>
      </c>
      <c r="C30" s="20">
        <v>3.0</v>
      </c>
      <c r="D30" s="87" t="s">
        <v>235</v>
      </c>
      <c r="E30" s="87" t="s">
        <v>290</v>
      </c>
      <c r="G30" s="87" t="s">
        <v>237</v>
      </c>
      <c r="H30" s="87" t="s">
        <v>248</v>
      </c>
      <c r="I30" s="87" t="s">
        <v>244</v>
      </c>
    </row>
    <row r="31">
      <c r="A31" s="20" t="b">
        <v>0</v>
      </c>
      <c r="B31" s="86" t="s">
        <v>291</v>
      </c>
      <c r="C31" s="20">
        <v>3.0</v>
      </c>
      <c r="D31" s="87" t="s">
        <v>249</v>
      </c>
      <c r="E31" s="87" t="s">
        <v>253</v>
      </c>
      <c r="G31" s="87" t="s">
        <v>237</v>
      </c>
      <c r="H31" s="87" t="s">
        <v>248</v>
      </c>
      <c r="I31" s="87" t="s">
        <v>244</v>
      </c>
    </row>
    <row r="32">
      <c r="A32" s="20" t="b">
        <v>0</v>
      </c>
      <c r="B32" s="86" t="s">
        <v>292</v>
      </c>
      <c r="C32" s="20">
        <v>3.0</v>
      </c>
      <c r="D32" s="87" t="s">
        <v>235</v>
      </c>
      <c r="E32" s="87" t="s">
        <v>236</v>
      </c>
      <c r="G32" s="87" t="s">
        <v>243</v>
      </c>
      <c r="H32" s="87" t="s">
        <v>251</v>
      </c>
      <c r="I32" s="87" t="s">
        <v>273</v>
      </c>
    </row>
    <row r="33">
      <c r="A33" s="20" t="b">
        <v>0</v>
      </c>
      <c r="B33" s="86" t="s">
        <v>293</v>
      </c>
      <c r="C33" s="20">
        <v>3.0</v>
      </c>
      <c r="D33" s="87" t="s">
        <v>235</v>
      </c>
      <c r="E33" s="87" t="s">
        <v>253</v>
      </c>
      <c r="G33" s="87" t="s">
        <v>237</v>
      </c>
      <c r="H33" s="87" t="s">
        <v>248</v>
      </c>
      <c r="I33" s="87" t="s">
        <v>244</v>
      </c>
    </row>
    <row r="34">
      <c r="A34" s="20" t="b">
        <v>0</v>
      </c>
      <c r="B34" s="86" t="s">
        <v>294</v>
      </c>
      <c r="C34" s="20">
        <v>3.0</v>
      </c>
      <c r="D34" s="87" t="s">
        <v>235</v>
      </c>
      <c r="E34" s="87" t="s">
        <v>246</v>
      </c>
      <c r="G34" s="87" t="s">
        <v>285</v>
      </c>
      <c r="H34" s="87" t="s">
        <v>251</v>
      </c>
      <c r="I34" s="87" t="s">
        <v>244</v>
      </c>
    </row>
    <row r="35">
      <c r="A35" s="20" t="b">
        <v>0</v>
      </c>
      <c r="B35" s="86" t="s">
        <v>295</v>
      </c>
      <c r="C35" s="20">
        <v>3.0</v>
      </c>
      <c r="D35" s="87" t="s">
        <v>235</v>
      </c>
      <c r="E35" s="87" t="s">
        <v>296</v>
      </c>
      <c r="G35" s="87" t="s">
        <v>243</v>
      </c>
      <c r="H35" s="87" t="s">
        <v>251</v>
      </c>
      <c r="I35" s="87" t="s">
        <v>261</v>
      </c>
    </row>
    <row r="36">
      <c r="A36" s="20" t="b">
        <v>0</v>
      </c>
      <c r="B36" s="86" t="s">
        <v>297</v>
      </c>
      <c r="C36" s="20">
        <v>3.0</v>
      </c>
      <c r="D36" s="87" t="s">
        <v>235</v>
      </c>
      <c r="E36" s="87" t="s">
        <v>242</v>
      </c>
      <c r="G36" s="87" t="s">
        <v>282</v>
      </c>
      <c r="H36" s="87" t="s">
        <v>251</v>
      </c>
      <c r="I36" s="87" t="s">
        <v>264</v>
      </c>
    </row>
    <row r="37">
      <c r="A37" s="20" t="b">
        <v>0</v>
      </c>
      <c r="B37" s="86" t="s">
        <v>298</v>
      </c>
      <c r="C37" s="20">
        <v>3.0</v>
      </c>
      <c r="D37" s="87" t="s">
        <v>299</v>
      </c>
      <c r="E37" s="87" t="s">
        <v>263</v>
      </c>
      <c r="G37" s="87" t="s">
        <v>285</v>
      </c>
      <c r="H37" s="87" t="s">
        <v>238</v>
      </c>
      <c r="I37" s="87" t="s">
        <v>261</v>
      </c>
    </row>
    <row r="38">
      <c r="A38" s="20" t="b">
        <v>0</v>
      </c>
      <c r="B38" s="86" t="s">
        <v>300</v>
      </c>
      <c r="C38" s="20">
        <v>3.0</v>
      </c>
      <c r="D38" s="87" t="s">
        <v>235</v>
      </c>
      <c r="E38" s="87" t="s">
        <v>242</v>
      </c>
      <c r="G38" s="87" t="s">
        <v>243</v>
      </c>
      <c r="H38" s="87" t="s">
        <v>251</v>
      </c>
      <c r="I38" s="87" t="s">
        <v>261</v>
      </c>
    </row>
    <row r="39">
      <c r="A39" s="20" t="b">
        <v>0</v>
      </c>
      <c r="B39" s="86" t="s">
        <v>301</v>
      </c>
      <c r="C39" s="20">
        <v>3.0</v>
      </c>
      <c r="D39" s="87" t="s">
        <v>235</v>
      </c>
      <c r="E39" s="87" t="s">
        <v>242</v>
      </c>
      <c r="G39" s="87" t="s">
        <v>243</v>
      </c>
      <c r="H39" s="87" t="s">
        <v>238</v>
      </c>
      <c r="I39" s="87" t="s">
        <v>278</v>
      </c>
    </row>
    <row r="40">
      <c r="A40" s="20" t="b">
        <v>0</v>
      </c>
      <c r="B40" s="86" t="s">
        <v>302</v>
      </c>
      <c r="C40" s="20">
        <v>3.0</v>
      </c>
      <c r="D40" s="87" t="s">
        <v>249</v>
      </c>
      <c r="E40" s="87" t="s">
        <v>253</v>
      </c>
      <c r="G40" s="87" t="s">
        <v>237</v>
      </c>
      <c r="H40" s="87" t="s">
        <v>251</v>
      </c>
      <c r="I40" s="87" t="s">
        <v>278</v>
      </c>
    </row>
    <row r="41">
      <c r="A41" s="20" t="b">
        <v>0</v>
      </c>
      <c r="B41" s="86" t="s">
        <v>303</v>
      </c>
      <c r="C41" s="20">
        <v>4.0</v>
      </c>
      <c r="D41" s="87" t="s">
        <v>235</v>
      </c>
      <c r="E41" s="87" t="s">
        <v>290</v>
      </c>
      <c r="G41" s="87" t="s">
        <v>254</v>
      </c>
      <c r="H41" s="87" t="s">
        <v>248</v>
      </c>
      <c r="I41" s="87" t="s">
        <v>261</v>
      </c>
    </row>
    <row r="42">
      <c r="A42" s="20" t="b">
        <v>0</v>
      </c>
      <c r="B42" s="86" t="s">
        <v>304</v>
      </c>
      <c r="C42" s="20">
        <v>4.0</v>
      </c>
      <c r="D42" s="87" t="s">
        <v>235</v>
      </c>
      <c r="E42" s="87" t="s">
        <v>290</v>
      </c>
      <c r="G42" s="87" t="s">
        <v>254</v>
      </c>
      <c r="H42" s="87" t="s">
        <v>248</v>
      </c>
      <c r="I42" s="87" t="s">
        <v>261</v>
      </c>
    </row>
    <row r="43">
      <c r="A43" s="20" t="b">
        <v>0</v>
      </c>
      <c r="B43" s="86" t="s">
        <v>218</v>
      </c>
      <c r="C43" s="20">
        <v>4.0</v>
      </c>
      <c r="D43" s="87" t="s">
        <v>235</v>
      </c>
      <c r="E43" s="87" t="s">
        <v>246</v>
      </c>
      <c r="G43" s="87" t="s">
        <v>305</v>
      </c>
      <c r="H43" s="87" t="s">
        <v>238</v>
      </c>
      <c r="I43" s="87" t="s">
        <v>261</v>
      </c>
    </row>
    <row r="44">
      <c r="A44" s="20" t="b">
        <v>0</v>
      </c>
      <c r="B44" s="86" t="s">
        <v>306</v>
      </c>
      <c r="C44" s="20">
        <v>4.0</v>
      </c>
      <c r="D44" s="87" t="s">
        <v>235</v>
      </c>
      <c r="E44" s="87" t="s">
        <v>242</v>
      </c>
      <c r="G44" s="87" t="s">
        <v>270</v>
      </c>
      <c r="H44" s="87" t="s">
        <v>251</v>
      </c>
      <c r="I44" s="87" t="s">
        <v>261</v>
      </c>
    </row>
    <row r="45">
      <c r="A45" s="20" t="b">
        <v>0</v>
      </c>
      <c r="B45" s="86" t="s">
        <v>307</v>
      </c>
      <c r="C45" s="20">
        <v>4.0</v>
      </c>
      <c r="D45" s="87" t="s">
        <v>272</v>
      </c>
      <c r="E45" s="87" t="s">
        <v>236</v>
      </c>
      <c r="G45" s="87" t="s">
        <v>243</v>
      </c>
      <c r="H45" s="87" t="s">
        <v>251</v>
      </c>
      <c r="I45" s="87" t="s">
        <v>273</v>
      </c>
    </row>
    <row r="46">
      <c r="A46" s="20" t="b">
        <v>0</v>
      </c>
      <c r="B46" s="86" t="s">
        <v>308</v>
      </c>
      <c r="C46" s="20">
        <v>4.0</v>
      </c>
      <c r="D46" s="87" t="s">
        <v>235</v>
      </c>
      <c r="E46" s="87" t="s">
        <v>253</v>
      </c>
      <c r="G46" s="87" t="s">
        <v>282</v>
      </c>
      <c r="H46" s="87" t="s">
        <v>238</v>
      </c>
      <c r="I46" s="87" t="s">
        <v>255</v>
      </c>
    </row>
    <row r="47">
      <c r="A47" s="20" t="b">
        <v>0</v>
      </c>
      <c r="B47" s="86" t="s">
        <v>309</v>
      </c>
      <c r="C47" s="20">
        <v>4.0</v>
      </c>
      <c r="D47" s="87" t="s">
        <v>249</v>
      </c>
      <c r="E47" s="87" t="s">
        <v>253</v>
      </c>
      <c r="G47" s="87" t="s">
        <v>237</v>
      </c>
      <c r="H47" s="87" t="s">
        <v>248</v>
      </c>
      <c r="I47" s="87" t="s">
        <v>244</v>
      </c>
    </row>
    <row r="48">
      <c r="A48" s="20" t="b">
        <v>0</v>
      </c>
      <c r="B48" s="86" t="s">
        <v>310</v>
      </c>
      <c r="C48" s="20">
        <v>5.0</v>
      </c>
      <c r="D48" s="87" t="s">
        <v>249</v>
      </c>
      <c r="E48" s="87" t="s">
        <v>253</v>
      </c>
      <c r="G48" s="87" t="s">
        <v>237</v>
      </c>
      <c r="H48" s="87" t="s">
        <v>248</v>
      </c>
      <c r="I48" s="87" t="s">
        <v>261</v>
      </c>
    </row>
    <row r="49">
      <c r="A49" s="20" t="b">
        <v>0</v>
      </c>
      <c r="B49" s="86" t="s">
        <v>311</v>
      </c>
      <c r="C49" s="20">
        <v>5.0</v>
      </c>
      <c r="D49" s="87" t="s">
        <v>235</v>
      </c>
      <c r="E49" s="87" t="s">
        <v>290</v>
      </c>
      <c r="G49" s="87" t="s">
        <v>254</v>
      </c>
      <c r="H49" s="87" t="s">
        <v>248</v>
      </c>
      <c r="I49" s="87" t="s">
        <v>261</v>
      </c>
    </row>
    <row r="50">
      <c r="A50" s="20" t="b">
        <v>0</v>
      </c>
      <c r="B50" s="86" t="s">
        <v>312</v>
      </c>
      <c r="C50" s="20">
        <v>5.0</v>
      </c>
      <c r="D50" s="87" t="s">
        <v>235</v>
      </c>
      <c r="E50" s="87" t="s">
        <v>290</v>
      </c>
      <c r="G50" s="87" t="s">
        <v>243</v>
      </c>
      <c r="H50" s="87" t="s">
        <v>248</v>
      </c>
      <c r="I50" s="87" t="s">
        <v>244</v>
      </c>
    </row>
    <row r="51">
      <c r="A51" s="20" t="b">
        <v>0</v>
      </c>
      <c r="B51" s="86" t="s">
        <v>313</v>
      </c>
      <c r="C51" s="20">
        <v>5.0</v>
      </c>
      <c r="D51" s="87" t="s">
        <v>235</v>
      </c>
      <c r="E51" s="87" t="s">
        <v>253</v>
      </c>
      <c r="G51" s="87" t="s">
        <v>237</v>
      </c>
      <c r="H51" s="87" t="s">
        <v>238</v>
      </c>
      <c r="I51" s="87" t="s">
        <v>261</v>
      </c>
    </row>
    <row r="52">
      <c r="A52" s="20" t="b">
        <v>0</v>
      </c>
      <c r="B52" s="86" t="s">
        <v>314</v>
      </c>
      <c r="C52" s="20">
        <v>5.0</v>
      </c>
      <c r="D52" s="87" t="s">
        <v>299</v>
      </c>
      <c r="E52" s="87" t="s">
        <v>246</v>
      </c>
      <c r="G52" s="87" t="s">
        <v>315</v>
      </c>
      <c r="H52" s="87" t="s">
        <v>248</v>
      </c>
      <c r="I52" s="87" t="s">
        <v>239</v>
      </c>
    </row>
    <row r="53">
      <c r="A53" s="20" t="b">
        <v>0</v>
      </c>
      <c r="B53" s="86" t="s">
        <v>316</v>
      </c>
      <c r="C53" s="20">
        <v>5.0</v>
      </c>
      <c r="D53" s="87" t="s">
        <v>249</v>
      </c>
      <c r="E53" s="87" t="s">
        <v>242</v>
      </c>
      <c r="G53" s="87" t="s">
        <v>282</v>
      </c>
      <c r="H53" s="87" t="s">
        <v>251</v>
      </c>
      <c r="I53" s="87" t="s">
        <v>244</v>
      </c>
    </row>
    <row r="54">
      <c r="A54" s="20" t="b">
        <v>0</v>
      </c>
      <c r="B54" s="86" t="s">
        <v>317</v>
      </c>
      <c r="C54" s="20">
        <v>5.0</v>
      </c>
      <c r="D54" s="87" t="s">
        <v>235</v>
      </c>
      <c r="E54" s="87" t="s">
        <v>242</v>
      </c>
      <c r="G54" s="87" t="s">
        <v>243</v>
      </c>
      <c r="H54" s="87" t="s">
        <v>238</v>
      </c>
      <c r="I54" s="87" t="s">
        <v>278</v>
      </c>
    </row>
    <row r="55">
      <c r="A55" s="20" t="b">
        <v>0</v>
      </c>
      <c r="B55" s="86" t="s">
        <v>318</v>
      </c>
      <c r="C55" s="20">
        <v>5.0</v>
      </c>
      <c r="D55" s="87" t="s">
        <v>235</v>
      </c>
      <c r="E55" s="87" t="s">
        <v>319</v>
      </c>
      <c r="G55" s="87" t="s">
        <v>282</v>
      </c>
      <c r="H55" s="87" t="s">
        <v>238</v>
      </c>
      <c r="I55" s="87" t="s">
        <v>273</v>
      </c>
    </row>
  </sheetData>
  <customSheetViews>
    <customSheetView guid="{E13A0174-D35A-4EE5-BD31-B0E0BC14C376}" filter="1" showAutoFilter="1">
      <autoFilter ref="$A$1:$E$55">
        <filterColumn colId="3">
          <filters>
            <filter val="1 Action"/>
            <filter val="1 Bonus Action"/>
            <filter val="1 Action R"/>
          </filters>
        </filterColumn>
        <filterColumn colId="2">
          <filters>
            <filter val="1"/>
            <filter val="2"/>
          </filters>
        </filterColumn>
        <sortState ref="A1:E55">
          <sortCondition ref="D1:D55"/>
        </sortState>
      </autoFilter>
    </customSheetView>
    <customSheetView guid="{4839BD52-9FCB-4996-8471-5D164D9582A8}" filter="1" showAutoFilter="1">
      <autoFilter ref="$A$1:$H$55">
        <filterColumn colId="2">
          <filters>
            <filter val="1"/>
            <filter val="2"/>
          </filters>
        </filterColumn>
        <filterColumn colId="3">
          <filters>
            <filter val="1 Action"/>
            <filter val="1 Minute"/>
            <filter val="1 Bonus Action"/>
            <filter val="1 Action R"/>
          </filters>
        </filterColumn>
        <sortState ref="A1:H55">
          <sortCondition ref="C1:C55"/>
        </sortState>
      </autoFilter>
    </customSheetView>
  </customSheetView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</hyperlinks>
  <drawing r:id="rId5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20.14"/>
    <col customWidth="1" min="3" max="3" width="20.43"/>
    <col customWidth="1" min="4" max="4" width="15.57"/>
    <col customWidth="1" min="5" max="5" width="22.0"/>
    <col customWidth="1" min="6" max="6" width="16.43"/>
    <col customWidth="1" min="7" max="10" width="14.71"/>
    <col customWidth="1" min="11" max="13" width="31.86"/>
  </cols>
  <sheetData>
    <row r="1">
      <c r="A1" s="89" t="s">
        <v>320</v>
      </c>
      <c r="B1" s="45"/>
      <c r="C1" s="90" t="s">
        <v>145</v>
      </c>
      <c r="D1" s="91" t="s">
        <v>321</v>
      </c>
      <c r="E1" s="92" t="s">
        <v>156</v>
      </c>
      <c r="F1" s="93" t="s">
        <v>322</v>
      </c>
      <c r="G1" s="90" t="s">
        <v>323</v>
      </c>
      <c r="H1" s="90" t="s">
        <v>324</v>
      </c>
      <c r="I1" s="90" t="s">
        <v>325</v>
      </c>
      <c r="J1" s="90" t="s">
        <v>326</v>
      </c>
      <c r="K1" s="91" t="s">
        <v>327</v>
      </c>
    </row>
    <row r="2">
      <c r="A2" s="94">
        <f>4+datos_basicos!B6*(6+datos_basicos!G5)-A3</f>
        <v>65</v>
      </c>
      <c r="B2" s="95" t="str">
        <f>CONCAT("de ",4+datos_basicos!B6*(6+datos_basicos!G5))</f>
        <v>de 76</v>
      </c>
      <c r="C2" s="96" t="s">
        <v>328</v>
      </c>
      <c r="D2" s="97" t="str">
        <f>CONCAT(D3,"d4")</f>
        <v>0d4</v>
      </c>
      <c r="E2" s="98">
        <f>acciones_en_combate!E5-E3</f>
        <v>0</v>
      </c>
      <c r="F2" s="99">
        <f>IFERROR(__xludf.DUMMYFUNCTION("max(filter(datos_basicos!H16:H26,datos_basicos!H16:H26&lt;datos_basicos!B6))"),7.0)</f>
        <v>7</v>
      </c>
      <c r="G2" s="100">
        <f>VLOOKUP(F2,datos_basicos!H16:Q26,2)-G3</f>
        <v>1</v>
      </c>
      <c r="H2" s="101">
        <f>VLOOKUP(F2,datos_basicos!H16:Q26,3)-H3</f>
        <v>1</v>
      </c>
      <c r="I2" s="101">
        <f>VLOOKUP(F2,datos_basicos!H16:Q26,4)-I3</f>
        <v>0</v>
      </c>
      <c r="J2" s="101">
        <f>VLOOKUP(F2,datos_basicos!H16:Q26,5)-J3</f>
        <v>0</v>
      </c>
      <c r="K2" s="102">
        <f>VLOOKUP(F2,datos_basicos!H16:Q26,6)-K3</f>
        <v>0</v>
      </c>
      <c r="AA2" s="103"/>
    </row>
    <row r="3">
      <c r="A3" s="33">
        <f>11</f>
        <v>11</v>
      </c>
      <c r="B3" s="104" t="s">
        <v>329</v>
      </c>
      <c r="C3" s="9" t="b">
        <v>0</v>
      </c>
      <c r="D3" s="105">
        <v>0.0</v>
      </c>
      <c r="E3" s="106">
        <f>10+25+5</f>
        <v>40</v>
      </c>
      <c r="F3" s="107" t="s">
        <v>330</v>
      </c>
      <c r="G3" s="108">
        <v>3.0</v>
      </c>
      <c r="H3" s="108">
        <v>2.0</v>
      </c>
      <c r="I3" s="109"/>
      <c r="J3" s="109"/>
      <c r="K3" s="110"/>
    </row>
    <row r="5">
      <c r="A5" s="89" t="s">
        <v>83</v>
      </c>
      <c r="B5" s="44"/>
      <c r="C5" s="111" t="s">
        <v>331</v>
      </c>
      <c r="D5" s="112">
        <f>10+datos_basicos!G4+SUMPRODUCT(C7:C12,D7:D12)</f>
        <v>21</v>
      </c>
      <c r="E5" s="89" t="s">
        <v>70</v>
      </c>
      <c r="F5" s="44"/>
      <c r="G5" s="44"/>
      <c r="H5" s="44"/>
      <c r="I5" s="44"/>
      <c r="J5" s="44"/>
      <c r="K5" s="45"/>
    </row>
    <row r="6">
      <c r="A6" s="1" t="str">
        <f>CONCAT(A5," Disponibles")</f>
        <v>Armadura Disponibles</v>
      </c>
      <c r="B6" s="3" t="s">
        <v>135</v>
      </c>
      <c r="C6" s="3" t="s">
        <v>331</v>
      </c>
      <c r="D6" s="113" t="s">
        <v>332</v>
      </c>
      <c r="E6" s="114" t="str">
        <f>IFERROR(__xludf.DUMMYFUNCTION("filter(E8:E28,F8:F28)"),"Rencorosa (Longsword)")</f>
        <v>Rencorosa (Longsword)</v>
      </c>
      <c r="F6" s="115" t="s">
        <v>333</v>
      </c>
      <c r="G6" s="116" t="str">
        <f>VLOOKUP(E6,E8:K28,3,0)</f>
        <v>1d20+2+6</v>
      </c>
      <c r="H6" s="116" t="str">
        <f>VLOOKUP(E6,E8:K28,4,0)</f>
        <v>1d8+2+3</v>
      </c>
      <c r="I6" s="116" t="str">
        <f>VLOOKUP(E6,E8:K28,5,0)</f>
        <v>Slashing</v>
      </c>
      <c r="J6" s="116" t="str">
        <f>VLOOKUP(E6,E8:K28,6,0)</f>
        <v>Melee</v>
      </c>
      <c r="K6" s="117" t="str">
        <f>VLOOKUP(E6,E8:K28,7,0)</f>
        <v>Daño extra (#fallos)d4.
Extensible a 10ft después de fallo</v>
      </c>
    </row>
    <row r="7">
      <c r="A7" s="118" t="str">
        <f>IFERROR(__xludf.DUMMYFUNCTION("FILTER(datos_basicos!$B$20:$C$70,datos_basicos!$A$20:$A$70,datos_basicos!$D$20:$D$70 = ""Armadura"")"),"Armadura completa c/cota de malla negra (adamantina)")</f>
        <v>Armadura completa c/cota de malla negra (adamantina)</v>
      </c>
      <c r="B7" s="17" t="str">
        <f>IFERROR(__xludf.DUMMYFUNCTION("""COMPUTED_VALUE"""),"extra: inmune a crítico")</f>
        <v>extra: inmune a crítico</v>
      </c>
      <c r="C7" s="20">
        <v>8.0</v>
      </c>
      <c r="D7" s="21" t="b">
        <v>1</v>
      </c>
      <c r="E7" s="42" t="str">
        <f>CONCAT(E5," Disponibles")</f>
        <v>Arma Disponibles</v>
      </c>
      <c r="F7" s="63" t="s">
        <v>332</v>
      </c>
      <c r="G7" s="63" t="s">
        <v>179</v>
      </c>
      <c r="H7" s="63" t="s">
        <v>180</v>
      </c>
      <c r="I7" s="63" t="s">
        <v>181</v>
      </c>
      <c r="J7" s="63" t="s">
        <v>182</v>
      </c>
      <c r="K7" s="119" t="s">
        <v>16</v>
      </c>
    </row>
    <row r="8">
      <c r="A8" s="118" t="str">
        <f>IFERROR(__xludf.DUMMYFUNCTION("""COMPUTED_VALUE"""),"Escudo")</f>
        <v>Escudo</v>
      </c>
      <c r="B8" s="17" t="str">
        <f>IFERROR(__xludf.DUMMYFUNCTION("""COMPUTED_VALUE"""),"+2 en AC")</f>
        <v>+2 en AC</v>
      </c>
      <c r="C8" s="17">
        <f>2</f>
        <v>2</v>
      </c>
      <c r="D8" s="21" t="b">
        <v>1</v>
      </c>
      <c r="E8" s="118" t="str">
        <f>IFERROR(__xludf.DUMMYFUNCTION("FILTER(datos_basicos!$B$20:$B$70,datos_basicos!$A$20:$A$70,datos_basicos!$D$20:$D$70 = E5)"),"Rencorosa (Longsword)")</f>
        <v>Rencorosa (Longsword)</v>
      </c>
      <c r="F8" s="20" t="b">
        <v>1</v>
      </c>
      <c r="G8" s="17" t="str">
        <f t="array" ref="G8">ifna(index(acciones_en_combate!$A$11:$F$24,MATCH($E8, acciones_en_combate!$A$11:$A$24, 0),MATCH(G$7, acciones_en_combate!B$11:B$24, 0)+1),"")</f>
        <v>1d20+2+6</v>
      </c>
      <c r="H8" s="17" t="str">
        <f t="array" ref="H8">ifna(index(acciones_en_combate!$A$11:$F$24,MATCH($E8, acciones_en_combate!$A$11:$A$24, 0),MATCH(H$7, acciones_en_combate!C$11:C$24, 0)+2),"")</f>
        <v>1d8+2+3</v>
      </c>
      <c r="I8" s="17" t="str">
        <f t="array" ref="I8">ifna(index(acciones_en_combate!$A$11:$F$24,MATCH($E8, acciones_en_combate!$A$11:$A$24, 0),MATCH(I$7, acciones_en_combate!D$11:D$24, 0)+3),"")</f>
        <v>Slashing</v>
      </c>
      <c r="J8" s="17" t="str">
        <f t="array" ref="J8">ifna(index(acciones_en_combate!$A$11:$F$24,MATCH($E8, acciones_en_combate!$A$11:$A$24, 0),MATCH(J$7, acciones_en_combate!E$11:E$24, 0)+4),"")</f>
        <v>Melee</v>
      </c>
      <c r="K8" s="18" t="str">
        <f t="array" ref="K8">ifna(index(acciones_en_combate!$A$11:$F$24,MATCH($E8, acciones_en_combate!$A$11:$A$24, 0),MATCH(K$7, acciones_en_combate!F$11:F$24, 0)+5),"")</f>
        <v>Daño extra (#fallos)d4.
Extensible a 10ft después de fallo</v>
      </c>
    </row>
    <row r="9">
      <c r="A9" s="118" t="str">
        <f>IFERROR(__xludf.DUMMYFUNCTION("""COMPUTED_VALUE"""),"Defense (Fighting Style)")</f>
        <v>Defense (Fighting Style)</v>
      </c>
      <c r="B9" s="17" t="str">
        <f>IFERROR(__xludf.DUMMYFUNCTION("""COMPUTED_VALUE"""),"+1 en AC")</f>
        <v>+1 en AC</v>
      </c>
      <c r="C9" s="20">
        <v>1.0</v>
      </c>
      <c r="D9" s="21" t="b">
        <v>1</v>
      </c>
      <c r="E9" s="118" t="str">
        <f>IFERROR(__xludf.DUMMYFUNCTION("""COMPUTED_VALUE"""),"Maul (Martillo 2 manos)")</f>
        <v>Maul (Martillo 2 manos)</v>
      </c>
      <c r="F9" s="20" t="b">
        <v>0</v>
      </c>
      <c r="G9" s="17" t="str">
        <f t="array" ref="G9">ifna(index(acciones_en_combate!$A$11:$F$24,MATCH($E9, acciones_en_combate!$A$11:$A$24, 0),MATCH(G$7, acciones_en_combate!B$11:B$24, 0)+1),"")</f>
        <v>1d20+6</v>
      </c>
      <c r="H9" s="17" t="str">
        <f t="array" ref="H9">ifna(index(acciones_en_combate!$A$11:$F$24,MATCH($E9, acciones_en_combate!$A$11:$A$24, 0),MATCH(H$7, acciones_en_combate!C$11:C$24, 0)+2),"")</f>
        <v>2d6+3</v>
      </c>
      <c r="I9" s="17" t="str">
        <f t="array" ref="I9">ifna(index(acciones_en_combate!$A$11:$F$24,MATCH($E9, acciones_en_combate!$A$11:$A$24, 0),MATCH(I$7, acciones_en_combate!D$11:D$24, 0)+3),"")</f>
        <v>Bludgeoning</v>
      </c>
      <c r="J9" s="17" t="str">
        <f t="array" ref="J9">ifna(index(acciones_en_combate!$A$11:$F$24,MATCH($E9, acciones_en_combate!$A$11:$A$24, 0),MATCH(J$7, acciones_en_combate!E$11:E$24, 0)+4),"")</f>
        <v>Melee</v>
      </c>
      <c r="K9" s="18" t="str">
        <f t="array" ref="K9">ifna(index(acciones_en_combate!$A$11:$F$24,MATCH($E9, acciones_en_combate!$A$11:$A$24, 0),MATCH(K$7, acciones_en_combate!F$11:F$24, 0)+5),"")</f>
        <v/>
      </c>
    </row>
    <row r="10">
      <c r="A10" s="118"/>
      <c r="D10" s="21" t="b">
        <v>0</v>
      </c>
      <c r="E10" s="118" t="str">
        <f>IFERROR(__xludf.DUMMYFUNCTION("""COMPUTED_VALUE"""),"Cegadora (Greataxe)")</f>
        <v>Cegadora (Greataxe)</v>
      </c>
      <c r="F10" s="20" t="b">
        <v>0</v>
      </c>
      <c r="G10" s="17" t="str">
        <f t="array" ref="G10">ifna(index(acciones_en_combate!$A$11:$F$24,MATCH($E10, acciones_en_combate!$A$11:$A$24, 0),MATCH(G$7, acciones_en_combate!B$11:B$24, 0)+1),"")</f>
        <v>1d20+6</v>
      </c>
      <c r="H10" s="17" t="str">
        <f t="array" ref="H10">ifna(index(acciones_en_combate!$A$11:$F$24,MATCH($E10, acciones_en_combate!$A$11:$A$24, 0),MATCH(H$7, acciones_en_combate!C$11:C$24, 0)+2),"")</f>
        <v>1d12+3+3</v>
      </c>
      <c r="I10" s="17" t="str">
        <f t="array" ref="I10">ifna(index(acciones_en_combate!$A$11:$F$24,MATCH($E10, acciones_en_combate!$A$11:$A$24, 0),MATCH(I$7, acciones_en_combate!D$11:D$24, 0)+3),"")</f>
        <v>Slashing</v>
      </c>
      <c r="J10" s="17" t="str">
        <f t="array" ref="J10">ifna(index(acciones_en_combate!$A$11:$F$24,MATCH($E10, acciones_en_combate!$A$11:$A$24, 0),MATCH(J$7, acciones_en_combate!E$11:E$24, 0)+4),"")</f>
        <v>Melee</v>
      </c>
      <c r="K10" s="18" t="str">
        <f t="array" ref="K10">ifna(index(acciones_en_combate!$A$11:$F$24,MATCH($E10, acciones_en_combate!$A$11:$A$24, 0),MATCH(K$7, acciones_en_combate!F$11:F$24, 0)+5),"")</f>
        <v>Lo que mata no se puede revivir.
2do ataque en turno con desventaja</v>
      </c>
    </row>
    <row r="11">
      <c r="A11" s="118"/>
      <c r="D11" s="21" t="b">
        <v>0</v>
      </c>
      <c r="E11" s="118" t="str">
        <f>IFERROR(__xludf.DUMMYFUNCTION("""COMPUTED_VALUE"""),"Unarmed Strike/Cuchillo")</f>
        <v>Unarmed Strike/Cuchillo</v>
      </c>
      <c r="F11" s="20" t="b">
        <v>0</v>
      </c>
      <c r="G11" s="17" t="str">
        <f t="array" ref="G11">ifna(index(acciones_en_combate!$A$11:$F$24,MATCH($E11, acciones_en_combate!$A$11:$A$24, 0),MATCH(G$7, acciones_en_combate!B$11:B$24, 0)+1),"")</f>
        <v>1d20+6</v>
      </c>
      <c r="H11" s="17" t="str">
        <f t="array" ref="H11">ifna(index(acciones_en_combate!$A$11:$F$24,MATCH($E11, acciones_en_combate!$A$11:$A$24, 0),MATCH(H$7, acciones_en_combate!C$11:C$24, 0)+2),"")</f>
        <v>1+3</v>
      </c>
      <c r="I11" s="17" t="str">
        <f t="array" ref="I11">ifna(index(acciones_en_combate!$A$11:$F$24,MATCH($E11, acciones_en_combate!$A$11:$A$24, 0),MATCH(I$7, acciones_en_combate!D$11:D$24, 0)+3),"")</f>
        <v>Bludgeoning/Piercing</v>
      </c>
      <c r="J11" s="17" t="str">
        <f t="array" ref="J11">ifna(index(acciones_en_combate!$A$11:$F$24,MATCH($E11, acciones_en_combate!$A$11:$A$24, 0),MATCH(J$7, acciones_en_combate!E$11:E$24, 0)+4),"")</f>
        <v>Melee</v>
      </c>
      <c r="K11" s="18" t="str">
        <f t="array" ref="K11">ifna(index(acciones_en_combate!$A$11:$F$24,MATCH($E11, acciones_en_combate!$A$11:$A$24, 0),MATCH(K$7, acciones_en_combate!F$11:F$24, 0)+5),"")</f>
        <v/>
      </c>
    </row>
    <row r="12">
      <c r="A12" s="120"/>
      <c r="B12" s="32"/>
      <c r="C12" s="32"/>
      <c r="D12" s="11" t="b">
        <v>0</v>
      </c>
      <c r="E12" s="118" t="str">
        <f>IFERROR(__xludf.DUMMYFUNCTION("""COMPUTED_VALUE"""),"Jabalina Electrica fallada")</f>
        <v>Jabalina Electrica fallada</v>
      </c>
      <c r="F12" s="20" t="b">
        <v>0</v>
      </c>
      <c r="G12" s="17" t="str">
        <f t="array" ref="G12">ifna(index(acciones_en_combate!$A$11:$F$24,MATCH($E12, acciones_en_combate!$A$11:$A$24, 0),MATCH(G$7, acciones_en_combate!B$11:B$24, 0)+1),"")</f>
        <v>1d20+6</v>
      </c>
      <c r="H12" s="17" t="str">
        <f t="array" ref="H12">ifna(index(acciones_en_combate!$A$11:$F$24,MATCH($E12, acciones_en_combate!$A$11:$A$24, 0),MATCH(H$7, acciones_en_combate!C$11:C$24, 0)+2),"")</f>
        <v>1d6+3</v>
      </c>
      <c r="I12" s="17" t="str">
        <f t="array" ref="I12">ifna(index(acciones_en_combate!$A$11:$F$24,MATCH($E12, acciones_en_combate!$A$11:$A$24, 0),MATCH(I$7, acciones_en_combate!D$11:D$24, 0)+3),"")</f>
        <v>Piercing, Lightning</v>
      </c>
      <c r="J12" s="17" t="str">
        <f t="array" ref="J12">ifna(index(acciones_en_combate!$A$11:$F$24,MATCH($E12, acciones_en_combate!$A$11:$A$24, 0),MATCH(J$7, acciones_en_combate!E$11:E$24, 0)+4),"")</f>
        <v>Melee (lanzable)</v>
      </c>
      <c r="K12" s="18" t="str">
        <f t="array" ref="K12">ifna(index(acciones_en_combate!$A$11:$F$24,MATCH($E12, acciones_en_combate!$A$11:$A$24, 0),MATCH(K$7, acciones_en_combate!F$11:F$24, 0)+5),"")</f>
        <v>saca chispas al querer activarla</v>
      </c>
    </row>
    <row r="13">
      <c r="A13" s="121" t="s">
        <v>334</v>
      </c>
      <c r="C13" s="121" t="s">
        <v>0</v>
      </c>
      <c r="D13" s="121" t="s">
        <v>335</v>
      </c>
      <c r="E13" s="118" t="str">
        <f>IFERROR(__xludf.DUMMYFUNCTION("""COMPUTED_VALUE"""),"Atlatl")</f>
        <v>Atlatl</v>
      </c>
      <c r="F13" s="20" t="b">
        <v>0</v>
      </c>
      <c r="G13" s="17" t="str">
        <f t="array" ref="G13">ifna(index(acciones_en_combate!$A$11:$F$24,MATCH($E13, acciones_en_combate!$A$11:$A$24, 0),MATCH(G$7, acciones_en_combate!B$11:B$24, 0)+1),"")</f>
        <v/>
      </c>
      <c r="H13" s="17" t="str">
        <f t="array" ref="H13">ifna(index(acciones_en_combate!$A$11:$F$24,MATCH($E13, acciones_en_combate!$A$11:$A$24, 0),MATCH(H$7, acciones_en_combate!C$11:C$24, 0)+2),"")</f>
        <v/>
      </c>
      <c r="I13" s="17" t="str">
        <f t="array" ref="I13">ifna(index(acciones_en_combate!$A$11:$F$24,MATCH($E13, acciones_en_combate!$A$11:$A$24, 0),MATCH(I$7, acciones_en_combate!D$11:D$24, 0)+3),"")</f>
        <v/>
      </c>
      <c r="J13" s="17" t="str">
        <f t="array" ref="J13">ifna(index(acciones_en_combate!$A$11:$F$24,MATCH($E13, acciones_en_combate!$A$11:$A$24, 0),MATCH(J$7, acciones_en_combate!E$11:E$24, 0)+4),"")</f>
        <v/>
      </c>
      <c r="K13" s="18" t="str">
        <f t="array" ref="K13">ifna(index(acciones_en_combate!$A$11:$F$24,MATCH($E13, acciones_en_combate!$A$11:$A$24, 0),MATCH(K$7, acciones_en_combate!F$11:F$24, 0)+5),"")</f>
        <v>Duplica lanzamiento de Jabalina</v>
      </c>
    </row>
    <row r="14">
      <c r="A14" s="20" t="s">
        <v>336</v>
      </c>
      <c r="C14" s="63" t="s">
        <v>337</v>
      </c>
      <c r="D14" s="63">
        <v>0.0</v>
      </c>
      <c r="E14" s="118"/>
      <c r="F14" s="20" t="b">
        <v>0</v>
      </c>
      <c r="G14" s="17" t="str">
        <f t="array" ref="G14">ifna(index(acciones_en_combate!$A$11:$F$24,MATCH($E14, acciones_en_combate!$A$11:$A$24, 0),MATCH(G$7, acciones_en_combate!B$11:B$24, 0)+1),"")</f>
        <v/>
      </c>
      <c r="H14" s="17" t="str">
        <f t="array" ref="H14">ifna(index(acciones_en_combate!$A$11:$F$24,MATCH($E14, acciones_en_combate!$A$11:$A$24, 0),MATCH(H$7, acciones_en_combate!C$11:C$24, 0)+2),"")</f>
        <v/>
      </c>
      <c r="I14" s="17" t="str">
        <f t="array" ref="I14">ifna(index(acciones_en_combate!$A$11:$F$24,MATCH($E14, acciones_en_combate!$A$11:$A$24, 0),MATCH(I$7, acciones_en_combate!D$11:D$24, 0)+3),"")</f>
        <v/>
      </c>
      <c r="J14" s="17" t="str">
        <f t="array" ref="J14">ifna(index(acciones_en_combate!$A$11:$F$24,MATCH($E14, acciones_en_combate!$A$11:$A$24, 0),MATCH(J$7, acciones_en_combate!E$11:E$24, 0)+4),"")</f>
        <v/>
      </c>
      <c r="K14" s="18" t="str">
        <f t="array" ref="K14">ifna(index(acciones_en_combate!$A$11:$F$24,MATCH($E14, acciones_en_combate!$A$11:$A$24, 0),MATCH(K$7, acciones_en_combate!F$11:F$24, 0)+5),"")</f>
        <v/>
      </c>
    </row>
    <row r="15">
      <c r="A15" s="20" t="s">
        <v>338</v>
      </c>
      <c r="C15" s="63" t="s">
        <v>58</v>
      </c>
      <c r="D15" s="63">
        <v>8.0</v>
      </c>
      <c r="E15" s="118"/>
      <c r="F15" s="20" t="b">
        <v>0</v>
      </c>
      <c r="G15" s="17" t="str">
        <f t="array" ref="G15">ifna(index(acciones_en_combate!$A$11:$F$24,MATCH($E15, acciones_en_combate!$A$11:$A$24, 0),MATCH(G$7, acciones_en_combate!B$11:B$24, 0)+1),"")</f>
        <v/>
      </c>
      <c r="H15" s="17" t="str">
        <f t="array" ref="H15">ifna(index(acciones_en_combate!$A$11:$F$24,MATCH($E15, acciones_en_combate!$A$11:$A$24, 0),MATCH(H$7, acciones_en_combate!C$11:C$24, 0)+2),"")</f>
        <v/>
      </c>
      <c r="I15" s="17" t="str">
        <f t="array" ref="I15">ifna(index(acciones_en_combate!$A$11:$F$24,MATCH($E15, acciones_en_combate!$A$11:$A$24, 0),MATCH(I$7, acciones_en_combate!D$11:D$24, 0)+3),"")</f>
        <v/>
      </c>
      <c r="J15" s="17" t="str">
        <f t="array" ref="J15">ifna(index(acciones_en_combate!$A$11:$F$24,MATCH($E15, acciones_en_combate!$A$11:$A$24, 0),MATCH(J$7, acciones_en_combate!E$11:E$24, 0)+4),"")</f>
        <v/>
      </c>
      <c r="K15" s="18" t="str">
        <f t="array" ref="K15">ifna(index(acciones_en_combate!$A$11:$F$24,MATCH($E15, acciones_en_combate!$A$11:$A$24, 0),MATCH(K$7, acciones_en_combate!F$11:F$24, 0)+5),"")</f>
        <v/>
      </c>
    </row>
    <row r="16">
      <c r="A16" s="20" t="s">
        <v>339</v>
      </c>
      <c r="C16" s="63" t="s">
        <v>340</v>
      </c>
      <c r="D16" s="63">
        <v>3.0</v>
      </c>
      <c r="E16" s="118"/>
      <c r="F16" s="20" t="b">
        <v>0</v>
      </c>
      <c r="G16" s="17" t="str">
        <f t="array" ref="G16">ifna(index(acciones_en_combate!$A$11:$F$24,MATCH($E16, acciones_en_combate!$A$11:$A$24, 0),MATCH(G$7, acciones_en_combate!B$11:B$24, 0)+1),"")</f>
        <v/>
      </c>
      <c r="H16" s="17" t="str">
        <f t="array" ref="H16">ifna(index(acciones_en_combate!$A$11:$F$24,MATCH($E16, acciones_en_combate!$A$11:$A$24, 0),MATCH(H$7, acciones_en_combate!C$11:C$24, 0)+2),"")</f>
        <v/>
      </c>
      <c r="I16" s="17" t="str">
        <f t="array" ref="I16">ifna(index(acciones_en_combate!$A$11:$F$24,MATCH($E16, acciones_en_combate!$A$11:$A$24, 0),MATCH(I$7, acciones_en_combate!D$11:D$24, 0)+3),"")</f>
        <v/>
      </c>
      <c r="J16" s="17" t="str">
        <f t="array" ref="J16">ifna(index(acciones_en_combate!$A$11:$F$24,MATCH($E16, acciones_en_combate!$A$11:$A$24, 0),MATCH(J$7, acciones_en_combate!E$11:E$24, 0)+4),"")</f>
        <v/>
      </c>
      <c r="K16" s="18" t="str">
        <f t="array" ref="K16">ifna(index(acciones_en_combate!$A$11:$F$24,MATCH($E16, acciones_en_combate!$A$11:$A$24, 0),MATCH(K$7, acciones_en_combate!F$11:F$24, 0)+5),"")</f>
        <v/>
      </c>
    </row>
    <row r="17">
      <c r="A17" s="20" t="s">
        <v>341</v>
      </c>
      <c r="C17" s="63" t="s">
        <v>342</v>
      </c>
      <c r="D17" s="63">
        <v>0.0</v>
      </c>
      <c r="E17" s="118"/>
      <c r="F17" s="20" t="b">
        <v>0</v>
      </c>
      <c r="G17" s="17" t="str">
        <f t="array" ref="G17">ifna(index(acciones_en_combate!$A$11:$F$24,MATCH($E17, acciones_en_combate!$A$11:$A$24, 0),MATCH(G$7, acciones_en_combate!B$11:B$24, 0)+1),"")</f>
        <v/>
      </c>
      <c r="H17" s="17" t="str">
        <f t="array" ref="H17">ifna(index(acciones_en_combate!$A$11:$F$24,MATCH($E17, acciones_en_combate!$A$11:$A$24, 0),MATCH(H$7, acciones_en_combate!C$11:C$24, 0)+2),"")</f>
        <v/>
      </c>
      <c r="I17" s="17" t="str">
        <f t="array" ref="I17">ifna(index(acciones_en_combate!$A$11:$F$24,MATCH($E17, acciones_en_combate!$A$11:$A$24, 0),MATCH(I$7, acciones_en_combate!D$11:D$24, 0)+3),"")</f>
        <v/>
      </c>
      <c r="J17" s="17" t="str">
        <f t="array" ref="J17">ifna(index(acciones_en_combate!$A$11:$F$24,MATCH($E17, acciones_en_combate!$A$11:$A$24, 0),MATCH(J$7, acciones_en_combate!E$11:E$24, 0)+4),"")</f>
        <v/>
      </c>
      <c r="K17" s="18" t="str">
        <f t="array" ref="K17">ifna(index(acciones_en_combate!$A$11:$F$24,MATCH($E17, acciones_en_combate!$A$11:$A$24, 0),MATCH(K$7, acciones_en_combate!F$11:F$24, 0)+5),"")</f>
        <v/>
      </c>
    </row>
    <row r="18">
      <c r="A18" s="20" t="s">
        <v>343</v>
      </c>
      <c r="C18" s="63" t="s">
        <v>344</v>
      </c>
      <c r="D18" s="63">
        <v>6.0</v>
      </c>
      <c r="E18" s="118"/>
      <c r="F18" s="20" t="b">
        <v>0</v>
      </c>
      <c r="G18" s="17" t="str">
        <f t="array" ref="G18">ifna(index(acciones_en_combate!$A$11:$F$24,MATCH($E18, acciones_en_combate!$A$11:$A$24, 0),MATCH(G$7, acciones_en_combate!B$11:B$24, 0)+1),"")</f>
        <v/>
      </c>
      <c r="H18" s="17" t="str">
        <f t="array" ref="H18">ifna(index(acciones_en_combate!$A$11:$F$24,MATCH($E18, acciones_en_combate!$A$11:$A$24, 0),MATCH(H$7, acciones_en_combate!C$11:C$24, 0)+2),"")</f>
        <v/>
      </c>
      <c r="I18" s="17" t="str">
        <f t="array" ref="I18">ifna(index(acciones_en_combate!$A$11:$F$24,MATCH($E18, acciones_en_combate!$A$11:$A$24, 0),MATCH(I$7, acciones_en_combate!D$11:D$24, 0)+3),"")</f>
        <v/>
      </c>
      <c r="J18" s="17" t="str">
        <f t="array" ref="J18">ifna(index(acciones_en_combate!$A$11:$F$24,MATCH($E18, acciones_en_combate!$A$11:$A$24, 0),MATCH(J$7, acciones_en_combate!E$11:E$24, 0)+4),"")</f>
        <v/>
      </c>
      <c r="K18" s="18" t="str">
        <f t="array" ref="K18">ifna(index(acciones_en_combate!$A$11:$F$24,MATCH($E18, acciones_en_combate!$A$11:$A$24, 0),MATCH(K$7, acciones_en_combate!F$11:F$24, 0)+5),"")</f>
        <v/>
      </c>
    </row>
    <row r="19">
      <c r="A19" s="93" t="s">
        <v>345</v>
      </c>
      <c r="B19" s="90"/>
      <c r="C19" s="90"/>
      <c r="D19" s="91" t="s">
        <v>346</v>
      </c>
      <c r="F19" s="20" t="b">
        <v>0</v>
      </c>
      <c r="G19" s="17" t="str">
        <f t="array" ref="G19">ifna(index(acciones_en_combate!$A$11:$F$24,MATCH($E19, acciones_en_combate!$A$11:$A$24, 0),MATCH(G$7, acciones_en_combate!B$11:B$24, 0)+1),"")</f>
        <v/>
      </c>
      <c r="H19" s="17" t="str">
        <f t="array" ref="H19">ifna(index(acciones_en_combate!$A$11:$F$24,MATCH($E19, acciones_en_combate!$A$11:$A$24, 0),MATCH(H$7, acciones_en_combate!C$11:C$24, 0)+2),"")</f>
        <v/>
      </c>
      <c r="I19" s="17" t="str">
        <f t="array" ref="I19">ifna(index(acciones_en_combate!$A$11:$F$24,MATCH($E19, acciones_en_combate!$A$11:$A$24, 0),MATCH(I$7, acciones_en_combate!D$11:D$24, 0)+3),"")</f>
        <v/>
      </c>
      <c r="J19" s="17" t="str">
        <f t="array" ref="J19">ifna(index(acciones_en_combate!$A$11:$F$24,MATCH($E19, acciones_en_combate!$A$11:$A$24, 0),MATCH(J$7, acciones_en_combate!E$11:E$24, 0)+4),"")</f>
        <v/>
      </c>
      <c r="K19" s="18" t="str">
        <f t="array" ref="K19">ifna(index(acciones_en_combate!$A$11:$F$24,MATCH($E19, acciones_en_combate!$A$11:$A$24, 0),MATCH(K$7, acciones_en_combate!F$11:F$24, 0)+5),"")</f>
        <v/>
      </c>
    </row>
    <row r="20">
      <c r="A20" s="19" t="s">
        <v>347</v>
      </c>
      <c r="B20" s="20" t="s">
        <v>20</v>
      </c>
      <c r="C20" s="20">
        <f>datos_basicos!G3+datos_basicos!$D$6*D20</f>
        <v>6</v>
      </c>
      <c r="D20" s="21" t="b">
        <v>1</v>
      </c>
      <c r="F20" s="20" t="b">
        <v>0</v>
      </c>
      <c r="G20" s="17" t="str">
        <f t="array" ref="G20">ifna(index(acciones_en_combate!$A$11:$F$24,MATCH($E20, acciones_en_combate!$A$11:$A$24, 0),MATCH(G$7, acciones_en_combate!B$11:B$24, 0)+1),"")</f>
        <v/>
      </c>
      <c r="H20" s="17" t="str">
        <f t="array" ref="H20">ifna(index(acciones_en_combate!$A$11:$F$24,MATCH($E20, acciones_en_combate!$A$11:$A$24, 0),MATCH(H$7, acciones_en_combate!C$11:C$24, 0)+2),"")</f>
        <v/>
      </c>
      <c r="I20" s="17" t="str">
        <f t="array" ref="I20">ifna(index(acciones_en_combate!$A$11:$F$24,MATCH($E20, acciones_en_combate!$A$11:$A$24, 0),MATCH(I$7, acciones_en_combate!D$11:D$24, 0)+3),"")</f>
        <v/>
      </c>
      <c r="J20" s="17" t="str">
        <f t="array" ref="J20">ifna(index(acciones_en_combate!$A$11:$F$24,MATCH($E20, acciones_en_combate!$A$11:$A$24, 0),MATCH(J$7, acciones_en_combate!E$11:E$24, 0)+4),"")</f>
        <v/>
      </c>
      <c r="K20" s="18" t="str">
        <f t="array" ref="K20">ifna(index(acciones_en_combate!$A$11:$F$24,MATCH($E20, acciones_en_combate!$A$11:$A$24, 0),MATCH(K$7, acciones_en_combate!F$11:F$24, 0)+5),"")</f>
        <v/>
      </c>
    </row>
    <row r="21">
      <c r="A21" s="19" t="s">
        <v>348</v>
      </c>
      <c r="B21" s="20" t="s">
        <v>33</v>
      </c>
      <c r="C21" s="20">
        <f>datos_basicos!G6+datos_basicos!$D$6*D20</f>
        <v>5</v>
      </c>
      <c r="D21" s="21" t="b">
        <v>1</v>
      </c>
      <c r="F21" s="20" t="b">
        <v>0</v>
      </c>
      <c r="G21" s="17" t="str">
        <f t="array" ref="G21">ifna(index(acciones_en_combate!$A$11:$F$24,MATCH($E21, acciones_en_combate!$A$11:$A$24, 0),MATCH(G$7, acciones_en_combate!B$11:B$24, 0)+1),"")</f>
        <v/>
      </c>
      <c r="H21" s="17" t="str">
        <f t="array" ref="H21">ifna(index(acciones_en_combate!$A$11:$F$24,MATCH($E21, acciones_en_combate!$A$11:$A$24, 0),MATCH(H$7, acciones_en_combate!C$11:C$24, 0)+2),"")</f>
        <v/>
      </c>
      <c r="I21" s="17" t="str">
        <f t="array" ref="I21">ifna(index(acciones_en_combate!$A$11:$F$24,MATCH($E21, acciones_en_combate!$A$11:$A$24, 0),MATCH(I$7, acciones_en_combate!D$11:D$24, 0)+3),"")</f>
        <v/>
      </c>
      <c r="J21" s="17" t="str">
        <f t="array" ref="J21">ifna(index(acciones_en_combate!$A$11:$F$24,MATCH($E21, acciones_en_combate!$A$11:$A$24, 0),MATCH(J$7, acciones_en_combate!E$11:E$24, 0)+4),"")</f>
        <v/>
      </c>
      <c r="K21" s="18" t="str">
        <f t="array" ref="K21">ifna(index(acciones_en_combate!$A$11:$F$24,MATCH($E21, acciones_en_combate!$A$11:$A$24, 0),MATCH(K$7, acciones_en_combate!F$11:F$24, 0)+5),"")</f>
        <v/>
      </c>
    </row>
    <row r="22">
      <c r="A22" s="19" t="s">
        <v>349</v>
      </c>
      <c r="B22" s="20" t="s">
        <v>37</v>
      </c>
      <c r="C22" s="20">
        <v>3.0</v>
      </c>
      <c r="D22" s="21" t="b">
        <v>1</v>
      </c>
      <c r="F22" s="20" t="b">
        <v>0</v>
      </c>
      <c r="G22" s="17" t="str">
        <f t="array" ref="G22">ifna(index(acciones_en_combate!$A$11:$F$24,MATCH($E22, acciones_en_combate!$A$11:$A$24, 0),MATCH(G$7, acciones_en_combate!B$11:B$24, 0)+1),"")</f>
        <v/>
      </c>
      <c r="H22" s="17" t="str">
        <f t="array" ref="H22">ifna(index(acciones_en_combate!$A$11:$F$24,MATCH($E22, acciones_en_combate!$A$11:$A$24, 0),MATCH(H$7, acciones_en_combate!C$11:C$24, 0)+2),"")</f>
        <v/>
      </c>
      <c r="I22" s="17" t="str">
        <f t="array" ref="I22">ifna(index(acciones_en_combate!$A$11:$F$24,MATCH($E22, acciones_en_combate!$A$11:$A$24, 0),MATCH(I$7, acciones_en_combate!D$11:D$24, 0)+3),"")</f>
        <v/>
      </c>
      <c r="J22" s="17" t="str">
        <f t="array" ref="J22">ifna(index(acciones_en_combate!$A$11:$F$24,MATCH($E22, acciones_en_combate!$A$11:$A$24, 0),MATCH(J$7, acciones_en_combate!E$11:E$24, 0)+4),"")</f>
        <v/>
      </c>
      <c r="K22" s="18" t="str">
        <f t="array" ref="K22">ifna(index(acciones_en_combate!$A$11:$F$24,MATCH($E22, acciones_en_combate!$A$11:$A$24, 0),MATCH(K$7, acciones_en_combate!F$11:F$24, 0)+5),"")</f>
        <v/>
      </c>
    </row>
    <row r="23">
      <c r="A23" s="19" t="s">
        <v>350</v>
      </c>
      <c r="B23" s="20" t="s">
        <v>40</v>
      </c>
      <c r="C23" s="20">
        <v>4.0</v>
      </c>
      <c r="D23" s="21" t="b">
        <v>1</v>
      </c>
      <c r="F23" s="20" t="b">
        <v>0</v>
      </c>
      <c r="G23" s="17" t="str">
        <f t="array" ref="G23">ifna(index(acciones_en_combate!$A$11:$F$24,MATCH($E23, acciones_en_combate!$A$11:$A$24, 0),MATCH(G$7, acciones_en_combate!B$11:B$24, 0)+1),"")</f>
        <v/>
      </c>
      <c r="H23" s="17" t="str">
        <f t="array" ref="H23">ifna(index(acciones_en_combate!$A$11:$F$24,MATCH($E23, acciones_en_combate!$A$11:$A$24, 0),MATCH(H$7, acciones_en_combate!C$11:C$24, 0)+2),"")</f>
        <v/>
      </c>
      <c r="I23" s="17" t="str">
        <f t="array" ref="I23">ifna(index(acciones_en_combate!$A$11:$F$24,MATCH($E23, acciones_en_combate!$A$11:$A$24, 0),MATCH(I$7, acciones_en_combate!D$11:D$24, 0)+3),"")</f>
        <v/>
      </c>
      <c r="J23" s="17" t="str">
        <f t="array" ref="J23">ifna(index(acciones_en_combate!$A$11:$F$24,MATCH($E23, acciones_en_combate!$A$11:$A$24, 0),MATCH(J$7, acciones_en_combate!E$11:E$24, 0)+4),"")</f>
        <v/>
      </c>
      <c r="K23" s="18" t="str">
        <f t="array" ref="K23">ifna(index(acciones_en_combate!$A$11:$F$24,MATCH($E23, acciones_en_combate!$A$11:$A$24, 0),MATCH(K$7, acciones_en_combate!F$11:F$24, 0)+5),"")</f>
        <v/>
      </c>
    </row>
    <row r="24">
      <c r="A24" s="122" t="s">
        <v>351</v>
      </c>
      <c r="B24" s="123" t="s">
        <v>33</v>
      </c>
      <c r="C24" s="123">
        <v>5.0</v>
      </c>
      <c r="D24" s="124" t="b">
        <v>1</v>
      </c>
      <c r="F24" s="20" t="b">
        <v>0</v>
      </c>
      <c r="K24" s="18"/>
    </row>
    <row r="25">
      <c r="A25" s="19" t="s">
        <v>345</v>
      </c>
      <c r="B25" s="20" t="s">
        <v>20</v>
      </c>
      <c r="C25" s="17">
        <f>datos_basicos!G3+datos_basicos!$D$6*D25</f>
        <v>3</v>
      </c>
      <c r="D25" s="21" t="b">
        <v>0</v>
      </c>
      <c r="F25" s="20" t="b">
        <v>0</v>
      </c>
      <c r="G25" s="17" t="str">
        <f t="array" ref="G25">ifna(index(acciones_en_combate!$A$11:$F$24,MATCH($E25, acciones_en_combate!$A$11:$A$24, 0),MATCH(G$7, acciones_en_combate!B$11:B$24, 0)+1),"")</f>
        <v/>
      </c>
      <c r="H25" s="17" t="str">
        <f t="array" ref="H25">ifna(index(acciones_en_combate!$A$11:$F$24,MATCH($E25, acciones_en_combate!$A$11:$A$24, 0),MATCH(H$7, acciones_en_combate!C$11:C$24, 0)+2),"")</f>
        <v/>
      </c>
      <c r="I25" s="17" t="str">
        <f t="array" ref="I25">ifna(index(acciones_en_combate!$A$11:$F$24,MATCH($E25, acciones_en_combate!$A$11:$A$24, 0),MATCH(I$7, acciones_en_combate!D$11:D$24, 0)+3),"")</f>
        <v/>
      </c>
      <c r="J25" s="17" t="str">
        <f t="array" ref="J25">ifna(index(acciones_en_combate!$A$11:$F$24,MATCH($E25, acciones_en_combate!$A$11:$A$24, 0),MATCH(J$7, acciones_en_combate!E$11:E$24, 0)+4),"")</f>
        <v/>
      </c>
      <c r="K25" s="18" t="str">
        <f t="array" ref="K25">ifna(index(acciones_en_combate!$A$11:$F$24,MATCH($E25, acciones_en_combate!$A$11:$A$24, 0),MATCH(K$7, acciones_en_combate!F$11:F$24, 0)+5),"")</f>
        <v/>
      </c>
    </row>
    <row r="26">
      <c r="A26" s="19" t="s">
        <v>345</v>
      </c>
      <c r="B26" s="20" t="s">
        <v>25</v>
      </c>
      <c r="C26" s="17">
        <f>datos_basicos!G4+datos_basicos!$D$6*D26</f>
        <v>0</v>
      </c>
      <c r="D26" s="21" t="b">
        <v>0</v>
      </c>
      <c r="F26" s="20" t="b">
        <v>0</v>
      </c>
      <c r="G26" s="17" t="str">
        <f t="array" ref="G26">ifna(index(acciones_en_combate!$A$11:$F$24,MATCH($E26, acciones_en_combate!$A$11:$A$24, 0),MATCH(G$7, acciones_en_combate!B$11:B$24, 0)+1),"")</f>
        <v/>
      </c>
      <c r="H26" s="17" t="str">
        <f t="array" ref="H26">ifna(index(acciones_en_combate!$A$11:$F$24,MATCH($E26, acciones_en_combate!$A$11:$A$24, 0),MATCH(H$7, acciones_en_combate!C$11:C$24, 0)+2),"")</f>
        <v/>
      </c>
      <c r="I26" s="17" t="str">
        <f t="array" ref="I26">ifna(index(acciones_en_combate!$A$11:$F$24,MATCH($E26, acciones_en_combate!$A$11:$A$24, 0),MATCH(I$7, acciones_en_combate!D$11:D$24, 0)+3),"")</f>
        <v/>
      </c>
      <c r="J26" s="17" t="str">
        <f t="array" ref="J26">ifna(index(acciones_en_combate!$A$11:$F$24,MATCH($E26, acciones_en_combate!$A$11:$A$24, 0),MATCH(J$7, acciones_en_combate!E$11:E$24, 0)+4),"")</f>
        <v/>
      </c>
      <c r="K26" s="18" t="str">
        <f t="array" ref="K26">ifna(index(acciones_en_combate!$A$11:$F$24,MATCH($E26, acciones_en_combate!$A$11:$A$24, 0),MATCH(K$7, acciones_en_combate!F$11:F$24, 0)+5),"")</f>
        <v/>
      </c>
    </row>
    <row r="27">
      <c r="A27" s="19" t="s">
        <v>345</v>
      </c>
      <c r="B27" s="20" t="s">
        <v>30</v>
      </c>
      <c r="C27" s="17">
        <f>datos_basicos!G5+datos_basicos!$D$6*D27</f>
        <v>6</v>
      </c>
      <c r="D27" s="21" t="b">
        <v>1</v>
      </c>
      <c r="F27" s="20" t="b">
        <v>0</v>
      </c>
      <c r="G27" s="17" t="str">
        <f t="array" ref="G27">ifna(index(acciones_en_combate!$A$11:$F$24,MATCH($E27, acciones_en_combate!$A$11:$A$24, 0),MATCH(G$7, acciones_en_combate!B$11:B$24, 0)+1),"")</f>
        <v/>
      </c>
      <c r="H27" s="17" t="str">
        <f t="array" ref="H27">ifna(index(acciones_en_combate!$A$11:$F$24,MATCH($E27, acciones_en_combate!$A$11:$A$24, 0),MATCH(H$7, acciones_en_combate!C$11:C$24, 0)+2),"")</f>
        <v/>
      </c>
      <c r="I27" s="17" t="str">
        <f t="array" ref="I27">ifna(index(acciones_en_combate!$A$11:$F$24,MATCH($E27, acciones_en_combate!$A$11:$A$24, 0),MATCH(I$7, acciones_en_combate!D$11:D$24, 0)+3),"")</f>
        <v/>
      </c>
      <c r="J27" s="17" t="str">
        <f t="array" ref="J27">ifna(index(acciones_en_combate!$A$11:$F$24,MATCH($E27, acciones_en_combate!$A$11:$A$24, 0),MATCH(J$7, acciones_en_combate!E$11:E$24, 0)+4),"")</f>
        <v/>
      </c>
      <c r="K27" s="18" t="str">
        <f t="array" ref="K27">ifna(index(acciones_en_combate!$A$11:$F$24,MATCH($E27, acciones_en_combate!$A$11:$A$24, 0),MATCH(K$7, acciones_en_combate!F$11:F$24, 0)+5),"")</f>
        <v/>
      </c>
    </row>
    <row r="28">
      <c r="A28" s="19" t="s">
        <v>345</v>
      </c>
      <c r="B28" s="20" t="s">
        <v>33</v>
      </c>
      <c r="C28" s="17">
        <f>datos_basicos!G6+datos_basicos!$D$6*D28</f>
        <v>2</v>
      </c>
      <c r="D28" s="21" t="b">
        <v>0</v>
      </c>
      <c r="F28" s="20" t="b">
        <v>0</v>
      </c>
      <c r="G28" s="17" t="str">
        <f t="array" ref="G28">ifna(index(acciones_en_combate!$A$11:$F$24,MATCH($E28, acciones_en_combate!$A$11:$A$24, 0),MATCH(G$7, acciones_en_combate!B$11:B$24, 0)+1),"")</f>
        <v/>
      </c>
      <c r="H28" s="17" t="str">
        <f t="array" ref="H28">ifna(index(acciones_en_combate!$A$11:$F$24,MATCH($E28, acciones_en_combate!$A$11:$A$24, 0),MATCH(H$7, acciones_en_combate!C$11:C$24, 0)+2),"")</f>
        <v/>
      </c>
      <c r="I28" s="17" t="str">
        <f t="array" ref="I28">ifna(index(acciones_en_combate!$A$11:$F$24,MATCH($E28, acciones_en_combate!$A$11:$A$24, 0),MATCH(I$7, acciones_en_combate!D$11:D$24, 0)+3),"")</f>
        <v/>
      </c>
      <c r="J28" s="17" t="str">
        <f t="array" ref="J28">ifna(index(acciones_en_combate!$A$11:$F$24,MATCH($E28, acciones_en_combate!$A$11:$A$24, 0),MATCH(J$7, acciones_en_combate!E$11:E$24, 0)+4),"")</f>
        <v/>
      </c>
      <c r="K28" s="18" t="str">
        <f t="array" ref="K28">ifna(index(acciones_en_combate!$A$11:$F$24,MATCH($E28, acciones_en_combate!$A$11:$A$24, 0),MATCH(K$7, acciones_en_combate!F$11:F$24, 0)+5),"")</f>
        <v/>
      </c>
    </row>
    <row r="29">
      <c r="A29" s="19" t="s">
        <v>345</v>
      </c>
      <c r="B29" s="20" t="s">
        <v>37</v>
      </c>
      <c r="C29" s="17">
        <f>datos_basicos!G7+datos_basicos!$D$6*D29</f>
        <v>3</v>
      </c>
      <c r="D29" s="21" t="b">
        <v>1</v>
      </c>
      <c r="F29" s="20" t="b">
        <v>0</v>
      </c>
      <c r="G29" s="17" t="str">
        <f t="array" ref="G29">ifna(index(acciones_en_combate!$A$11:$F$24,MATCH($E29, acciones_en_combate!$A$11:$A$24, 0),MATCH(G$7, acciones_en_combate!B$11:B$24, 0)+1),"")</f>
        <v/>
      </c>
      <c r="H29" s="17" t="str">
        <f t="array" ref="H29">ifna(index(acciones_en_combate!$A$11:$F$24,MATCH($E29, acciones_en_combate!$A$11:$A$24, 0),MATCH(H$7, acciones_en_combate!C$11:C$24, 0)+2),"")</f>
        <v/>
      </c>
      <c r="I29" s="17" t="str">
        <f t="array" ref="I29">ifna(index(acciones_en_combate!$A$11:$F$24,MATCH($E29, acciones_en_combate!$A$11:$A$24, 0),MATCH(I$7, acciones_en_combate!D$11:D$24, 0)+3),"")</f>
        <v/>
      </c>
      <c r="J29" s="17" t="str">
        <f t="array" ref="J29">ifna(index(acciones_en_combate!$A$11:$F$24,MATCH($E29, acciones_en_combate!$A$11:$A$24, 0),MATCH(J$7, acciones_en_combate!E$11:E$24, 0)+4),"")</f>
        <v/>
      </c>
      <c r="K29" s="18" t="str">
        <f t="array" ref="K29">ifna(index(acciones_en_combate!$A$11:$F$24,MATCH($E29, acciones_en_combate!$A$11:$A$24, 0),MATCH(K$7, acciones_en_combate!F$11:F$24, 0)+5),"")</f>
        <v/>
      </c>
    </row>
    <row r="30">
      <c r="A30" s="33" t="s">
        <v>345</v>
      </c>
      <c r="B30" s="9" t="s">
        <v>40</v>
      </c>
      <c r="C30" s="32">
        <f>datos_basicos!G8+datos_basicos!$D$6*D30</f>
        <v>5</v>
      </c>
      <c r="D30" s="11" t="b">
        <v>1</v>
      </c>
      <c r="E30" s="32"/>
      <c r="F30" s="9" t="b">
        <v>0</v>
      </c>
      <c r="G30" s="32" t="str">
        <f t="array" ref="G30">ifna(index(acciones_en_combate!$A$11:$F$24,MATCH($E30, acciones_en_combate!$A$11:$A$24, 0),MATCH(G$7, acciones_en_combate!B$11:B$24, 0)+1),"")</f>
        <v/>
      </c>
      <c r="H30" s="32" t="str">
        <f t="array" ref="H30">ifna(index(acciones_en_combate!$A$11:$F$24,MATCH($E30, acciones_en_combate!$A$11:$A$24, 0),MATCH(H$7, acciones_en_combate!C$11:C$24, 0)+2),"")</f>
        <v/>
      </c>
      <c r="I30" s="32" t="str">
        <f t="array" ref="I30">ifna(index(acciones_en_combate!$A$11:$F$24,MATCH($E30, acciones_en_combate!$A$11:$A$24, 0),MATCH(I$7, acciones_en_combate!D$11:D$24, 0)+3),"")</f>
        <v/>
      </c>
      <c r="J30" s="32" t="str">
        <f t="array" ref="J30">ifna(index(acciones_en_combate!$A$11:$F$24,MATCH($E30, acciones_en_combate!$A$11:$A$24, 0),MATCH(J$7, acciones_en_combate!E$11:E$24, 0)+4),"")</f>
        <v/>
      </c>
      <c r="K30" s="30" t="str">
        <f t="array" ref="K30">ifna(index(acciones_en_combate!$A$11:$F$24,MATCH($E30, acciones_en_combate!$A$11:$A$24, 0),MATCH(K$7, acciones_en_combate!F$11:F$24, 0)+5),"")</f>
        <v/>
      </c>
    </row>
  </sheetData>
  <mergeCells count="9">
    <mergeCell ref="A17:B17"/>
    <mergeCell ref="A18:B18"/>
    <mergeCell ref="A1:B1"/>
    <mergeCell ref="A5:B5"/>
    <mergeCell ref="E5:K5"/>
    <mergeCell ref="A13:B13"/>
    <mergeCell ref="A14:B14"/>
    <mergeCell ref="A15:B15"/>
    <mergeCell ref="A16:B16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4.86"/>
  </cols>
  <sheetData>
    <row r="1" ht="11.25" customHeight="1">
      <c r="A1" s="125"/>
      <c r="B1" s="126"/>
      <c r="C1" s="126"/>
      <c r="D1" s="126"/>
      <c r="E1" s="126"/>
      <c r="F1" s="126"/>
      <c r="G1" s="126"/>
      <c r="H1" s="126"/>
      <c r="I1" s="127"/>
      <c r="J1" s="128"/>
      <c r="K1" s="129" t="s">
        <v>352</v>
      </c>
      <c r="L1" s="130"/>
      <c r="M1" s="131"/>
      <c r="N1" s="132"/>
      <c r="O1" s="132"/>
      <c r="P1" s="132"/>
      <c r="Q1" s="132"/>
      <c r="R1" s="133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</row>
    <row r="2" ht="11.25" customHeight="1">
      <c r="A2" s="134"/>
      <c r="B2" s="135"/>
      <c r="C2" s="135"/>
      <c r="D2" s="135"/>
      <c r="E2" s="135"/>
      <c r="F2" s="135"/>
      <c r="G2" s="135"/>
      <c r="H2" s="135"/>
      <c r="I2" s="136"/>
      <c r="J2" s="128"/>
      <c r="K2" s="137" t="s">
        <v>353</v>
      </c>
      <c r="L2" s="7"/>
      <c r="M2" s="138"/>
      <c r="N2" s="6"/>
      <c r="O2" s="6"/>
      <c r="P2" s="6"/>
      <c r="Q2" s="6"/>
      <c r="R2" s="139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</row>
    <row r="3" ht="11.25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37" t="s">
        <v>354</v>
      </c>
      <c r="L3" s="7"/>
      <c r="M3" s="138"/>
      <c r="N3" s="6"/>
      <c r="O3" s="6"/>
      <c r="P3" s="6"/>
      <c r="Q3" s="6"/>
      <c r="R3" s="139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</row>
    <row r="4" ht="11.25" customHeight="1">
      <c r="A4" s="140" t="s">
        <v>355</v>
      </c>
      <c r="B4" s="130"/>
      <c r="C4" s="141" t="s">
        <v>356</v>
      </c>
      <c r="D4" s="141" t="s">
        <v>357</v>
      </c>
      <c r="E4" s="141" t="s">
        <v>358</v>
      </c>
      <c r="F4" s="142" t="s">
        <v>359</v>
      </c>
      <c r="G4" s="132"/>
      <c r="H4" s="130"/>
      <c r="I4" s="143" t="s">
        <v>360</v>
      </c>
      <c r="J4" s="128"/>
      <c r="K4" s="144" t="s">
        <v>361</v>
      </c>
      <c r="L4" s="145"/>
      <c r="M4" s="146"/>
      <c r="N4" s="147"/>
      <c r="O4" s="147"/>
      <c r="P4" s="147"/>
      <c r="Q4" s="147"/>
      <c r="R4" s="14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</row>
    <row r="5" ht="11.25" customHeight="1">
      <c r="A5" s="149" t="s">
        <v>175</v>
      </c>
      <c r="B5" s="7"/>
      <c r="C5" s="150"/>
      <c r="D5" s="150"/>
      <c r="E5" s="151" t="s">
        <v>362</v>
      </c>
      <c r="F5" s="152" t="s">
        <v>363</v>
      </c>
      <c r="G5" s="6"/>
      <c r="H5" s="7"/>
      <c r="I5" s="153" t="s">
        <v>362</v>
      </c>
      <c r="J5" s="128"/>
      <c r="K5" s="154"/>
      <c r="L5" s="155"/>
      <c r="M5" s="156"/>
      <c r="N5" s="157"/>
      <c r="O5" s="157"/>
      <c r="P5" s="157"/>
      <c r="Q5" s="157"/>
      <c r="R5" s="15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</row>
    <row r="6" ht="11.25" customHeight="1">
      <c r="A6" s="159" t="s">
        <v>364</v>
      </c>
      <c r="B6" s="45"/>
      <c r="C6" s="160"/>
      <c r="D6" s="160"/>
      <c r="E6" s="161" t="s">
        <v>362</v>
      </c>
      <c r="F6" s="152" t="s">
        <v>365</v>
      </c>
      <c r="G6" s="6"/>
      <c r="H6" s="7"/>
      <c r="I6" s="153" t="s">
        <v>362</v>
      </c>
      <c r="J6" s="128"/>
      <c r="K6" s="154"/>
      <c r="L6" s="155"/>
      <c r="M6" s="156"/>
      <c r="N6" s="157"/>
      <c r="O6" s="157"/>
      <c r="P6" s="157"/>
      <c r="Q6" s="157"/>
      <c r="R6" s="15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</row>
    <row r="7" ht="11.25" customHeight="1">
      <c r="A7" s="162"/>
      <c r="B7" s="58"/>
      <c r="C7" s="163"/>
      <c r="D7" s="163"/>
      <c r="E7" s="163"/>
      <c r="F7" s="152" t="s">
        <v>366</v>
      </c>
      <c r="G7" s="6"/>
      <c r="H7" s="7"/>
      <c r="I7" s="153" t="s">
        <v>362</v>
      </c>
      <c r="J7" s="128"/>
      <c r="K7" s="164"/>
      <c r="L7" s="165"/>
      <c r="M7" s="166"/>
      <c r="N7" s="167"/>
      <c r="O7" s="167"/>
      <c r="P7" s="167"/>
      <c r="Q7" s="167"/>
      <c r="R7" s="16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</row>
    <row r="8" ht="11.25" customHeight="1">
      <c r="A8" s="169"/>
      <c r="B8" s="51"/>
      <c r="C8" s="170"/>
      <c r="D8" s="170"/>
      <c r="E8" s="170"/>
      <c r="F8" s="152" t="s">
        <v>367</v>
      </c>
      <c r="G8" s="6"/>
      <c r="H8" s="7"/>
      <c r="I8" s="153" t="s">
        <v>362</v>
      </c>
      <c r="J8" s="128"/>
      <c r="K8" s="171" t="s">
        <v>368</v>
      </c>
      <c r="L8" s="172"/>
      <c r="M8" s="173"/>
      <c r="N8" s="135"/>
      <c r="O8" s="135"/>
      <c r="P8" s="135"/>
      <c r="Q8" s="135"/>
      <c r="R8" s="136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</row>
    <row r="9" ht="11.25" customHeight="1">
      <c r="A9" s="149" t="s">
        <v>369</v>
      </c>
      <c r="B9" s="7"/>
      <c r="C9" s="150"/>
      <c r="D9" s="150"/>
      <c r="E9" s="151" t="s">
        <v>362</v>
      </c>
      <c r="F9" s="174"/>
      <c r="G9" s="6"/>
      <c r="H9" s="6"/>
      <c r="I9" s="139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</row>
    <row r="10" ht="11.25" customHeight="1">
      <c r="A10" s="159" t="s">
        <v>370</v>
      </c>
      <c r="B10" s="45"/>
      <c r="C10" s="160"/>
      <c r="D10" s="160"/>
      <c r="E10" s="161" t="s">
        <v>362</v>
      </c>
      <c r="F10" s="152" t="s">
        <v>371</v>
      </c>
      <c r="G10" s="6"/>
      <c r="H10" s="7"/>
      <c r="I10" s="153" t="s">
        <v>362</v>
      </c>
      <c r="J10" s="128"/>
      <c r="K10" s="175"/>
      <c r="L10" s="130"/>
      <c r="M10" s="176" t="s">
        <v>372</v>
      </c>
      <c r="N10" s="130"/>
      <c r="O10" s="176" t="s">
        <v>373</v>
      </c>
      <c r="P10" s="130"/>
      <c r="Q10" s="176" t="s">
        <v>374</v>
      </c>
      <c r="R10" s="133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</row>
    <row r="11" ht="11.25" customHeight="1">
      <c r="A11" s="162"/>
      <c r="B11" s="58"/>
      <c r="C11" s="163"/>
      <c r="D11" s="163"/>
      <c r="E11" s="163"/>
      <c r="F11" s="152" t="s">
        <v>375</v>
      </c>
      <c r="G11" s="6"/>
      <c r="H11" s="7"/>
      <c r="I11" s="153" t="s">
        <v>362</v>
      </c>
      <c r="J11" s="128"/>
      <c r="K11" s="137" t="s">
        <v>376</v>
      </c>
      <c r="L11" s="7"/>
      <c r="M11" s="177"/>
      <c r="N11" s="145"/>
      <c r="O11" s="146"/>
      <c r="P11" s="145"/>
      <c r="Q11" s="146"/>
      <c r="R11" s="14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</row>
    <row r="12" ht="11.25" customHeight="1">
      <c r="A12" s="162"/>
      <c r="B12" s="58"/>
      <c r="C12" s="163"/>
      <c r="D12" s="163"/>
      <c r="E12" s="163"/>
      <c r="F12" s="152" t="s">
        <v>377</v>
      </c>
      <c r="G12" s="6"/>
      <c r="H12" s="7"/>
      <c r="I12" s="153" t="s">
        <v>362</v>
      </c>
      <c r="J12" s="128"/>
      <c r="K12" s="137" t="s">
        <v>378</v>
      </c>
      <c r="L12" s="7"/>
      <c r="M12" s="178"/>
      <c r="N12" s="155"/>
      <c r="O12" s="156"/>
      <c r="P12" s="155"/>
      <c r="Q12" s="156"/>
      <c r="R12" s="15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</row>
    <row r="13" ht="11.25" customHeight="1">
      <c r="A13" s="162"/>
      <c r="B13" s="58"/>
      <c r="C13" s="163"/>
      <c r="D13" s="163"/>
      <c r="E13" s="163"/>
      <c r="F13" s="152" t="s">
        <v>379</v>
      </c>
      <c r="G13" s="6"/>
      <c r="H13" s="7"/>
      <c r="I13" s="153" t="s">
        <v>362</v>
      </c>
      <c r="J13" s="128"/>
      <c r="K13" s="137" t="s">
        <v>380</v>
      </c>
      <c r="L13" s="7"/>
      <c r="M13" s="178"/>
      <c r="N13" s="155"/>
      <c r="O13" s="156"/>
      <c r="P13" s="155"/>
      <c r="Q13" s="156"/>
      <c r="R13" s="15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</row>
    <row r="14" ht="11.25" customHeight="1">
      <c r="A14" s="169"/>
      <c r="B14" s="51"/>
      <c r="C14" s="170"/>
      <c r="D14" s="170"/>
      <c r="E14" s="170"/>
      <c r="F14" s="152" t="s">
        <v>381</v>
      </c>
      <c r="G14" s="6"/>
      <c r="H14" s="7"/>
      <c r="I14" s="153" t="s">
        <v>362</v>
      </c>
      <c r="J14" s="128"/>
      <c r="K14" s="137" t="s">
        <v>382</v>
      </c>
      <c r="L14" s="7"/>
      <c r="M14" s="179"/>
      <c r="N14" s="165"/>
      <c r="O14" s="166"/>
      <c r="P14" s="165"/>
      <c r="Q14" s="166"/>
      <c r="R14" s="16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</row>
    <row r="15" ht="11.25" customHeight="1">
      <c r="A15" s="159" t="s">
        <v>383</v>
      </c>
      <c r="B15" s="45"/>
      <c r="C15" s="160"/>
      <c r="D15" s="160"/>
      <c r="E15" s="161" t="s">
        <v>362</v>
      </c>
      <c r="F15" s="152" t="s">
        <v>384</v>
      </c>
      <c r="G15" s="6"/>
      <c r="H15" s="7"/>
      <c r="I15" s="153" t="s">
        <v>362</v>
      </c>
      <c r="J15" s="128"/>
      <c r="K15" s="180" t="s">
        <v>385</v>
      </c>
      <c r="L15" s="181"/>
      <c r="M15" s="181"/>
      <c r="N15" s="181"/>
      <c r="O15" s="181"/>
      <c r="P15" s="181"/>
      <c r="Q15" s="181"/>
      <c r="R15" s="182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</row>
    <row r="16" ht="11.25" customHeight="1">
      <c r="A16" s="162"/>
      <c r="B16" s="58"/>
      <c r="C16" s="163"/>
      <c r="D16" s="163"/>
      <c r="E16" s="163"/>
      <c r="F16" s="152" t="s">
        <v>386</v>
      </c>
      <c r="G16" s="6"/>
      <c r="H16" s="7"/>
      <c r="I16" s="153" t="s">
        <v>362</v>
      </c>
      <c r="J16" s="128"/>
      <c r="K16" s="183" t="s">
        <v>387</v>
      </c>
      <c r="L16" s="126"/>
      <c r="M16" s="184"/>
      <c r="N16" s="126"/>
      <c r="O16" s="126"/>
      <c r="P16" s="126"/>
      <c r="Q16" s="126"/>
      <c r="R16" s="127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</row>
    <row r="17" ht="11.25" customHeight="1">
      <c r="A17" s="162"/>
      <c r="B17" s="58"/>
      <c r="C17" s="163"/>
      <c r="D17" s="163"/>
      <c r="E17" s="163"/>
      <c r="F17" s="152" t="s">
        <v>388</v>
      </c>
      <c r="G17" s="6"/>
      <c r="H17" s="7"/>
      <c r="I17" s="153" t="s">
        <v>362</v>
      </c>
      <c r="J17" s="128"/>
      <c r="K17" s="185" t="s">
        <v>389</v>
      </c>
      <c r="M17" s="186"/>
      <c r="R17" s="187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</row>
    <row r="18" ht="11.25" customHeight="1">
      <c r="A18" s="162"/>
      <c r="B18" s="58"/>
      <c r="C18" s="163"/>
      <c r="D18" s="163"/>
      <c r="E18" s="163"/>
      <c r="F18" s="152" t="s">
        <v>390</v>
      </c>
      <c r="G18" s="6"/>
      <c r="H18" s="7"/>
      <c r="I18" s="153" t="s">
        <v>362</v>
      </c>
      <c r="J18" s="128"/>
      <c r="K18" s="185" t="s">
        <v>391</v>
      </c>
      <c r="M18" s="186"/>
      <c r="R18" s="187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</row>
    <row r="19" ht="11.25" customHeight="1">
      <c r="A19" s="169"/>
      <c r="B19" s="51"/>
      <c r="C19" s="170"/>
      <c r="D19" s="170"/>
      <c r="E19" s="170"/>
      <c r="F19" s="152" t="s">
        <v>392</v>
      </c>
      <c r="G19" s="6"/>
      <c r="H19" s="7"/>
      <c r="I19" s="153" t="s">
        <v>362</v>
      </c>
      <c r="J19" s="128"/>
      <c r="K19" s="185" t="s">
        <v>393</v>
      </c>
      <c r="M19" s="186"/>
      <c r="R19" s="187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</row>
    <row r="20" ht="11.25" customHeight="1">
      <c r="A20" s="159" t="s">
        <v>394</v>
      </c>
      <c r="B20" s="45"/>
      <c r="C20" s="160"/>
      <c r="D20" s="160"/>
      <c r="E20" s="161" t="s">
        <v>362</v>
      </c>
      <c r="F20" s="152" t="s">
        <v>395</v>
      </c>
      <c r="G20" s="6"/>
      <c r="H20" s="7"/>
      <c r="I20" s="153" t="s">
        <v>362</v>
      </c>
      <c r="J20" s="128"/>
      <c r="K20" s="188" t="s">
        <v>396</v>
      </c>
      <c r="L20" s="135"/>
      <c r="M20" s="189"/>
      <c r="N20" s="135"/>
      <c r="O20" s="135"/>
      <c r="P20" s="135"/>
      <c r="Q20" s="135"/>
      <c r="R20" s="136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</row>
    <row r="21" ht="11.25" customHeight="1">
      <c r="A21" s="162"/>
      <c r="B21" s="58"/>
      <c r="C21" s="163"/>
      <c r="D21" s="163"/>
      <c r="E21" s="163"/>
      <c r="F21" s="152" t="s">
        <v>397</v>
      </c>
      <c r="G21" s="6"/>
      <c r="H21" s="7"/>
      <c r="I21" s="153" t="s">
        <v>362</v>
      </c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</row>
    <row r="22" ht="11.25" customHeight="1">
      <c r="A22" s="162"/>
      <c r="B22" s="58"/>
      <c r="C22" s="163"/>
      <c r="D22" s="163"/>
      <c r="E22" s="163"/>
      <c r="F22" s="152" t="s">
        <v>398</v>
      </c>
      <c r="G22" s="6"/>
      <c r="H22" s="7"/>
      <c r="I22" s="153" t="s">
        <v>362</v>
      </c>
      <c r="J22" s="128"/>
      <c r="K22" s="175"/>
      <c r="L22" s="130"/>
      <c r="M22" s="131" t="s">
        <v>399</v>
      </c>
      <c r="N22" s="130"/>
      <c r="O22" s="131" t="s">
        <v>400</v>
      </c>
      <c r="P22" s="130"/>
      <c r="Q22" s="131" t="s">
        <v>401</v>
      </c>
      <c r="R22" s="133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</row>
    <row r="23" ht="11.25" customHeight="1">
      <c r="A23" s="134"/>
      <c r="B23" s="172"/>
      <c r="C23" s="190"/>
      <c r="D23" s="190"/>
      <c r="E23" s="190"/>
      <c r="F23" s="191" t="s">
        <v>402</v>
      </c>
      <c r="G23" s="181"/>
      <c r="H23" s="192"/>
      <c r="I23" s="193" t="s">
        <v>362</v>
      </c>
      <c r="J23" s="128"/>
      <c r="K23" s="194" t="s">
        <v>403</v>
      </c>
      <c r="L23" s="192"/>
      <c r="M23" s="195"/>
      <c r="N23" s="192"/>
      <c r="O23" s="195"/>
      <c r="P23" s="192"/>
      <c r="Q23" s="195"/>
      <c r="R23" s="182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</row>
    <row r="24" ht="11.25" customHeight="1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</row>
    <row r="25" ht="11.25" customHeight="1">
      <c r="A25" s="175" t="s">
        <v>404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3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</row>
    <row r="26" ht="11.25" customHeight="1">
      <c r="A26" s="196" t="s">
        <v>405</v>
      </c>
      <c r="B26" s="6"/>
      <c r="C26" s="7"/>
      <c r="D26" s="138" t="s">
        <v>141</v>
      </c>
      <c r="E26" s="7"/>
      <c r="F26" s="138" t="s">
        <v>406</v>
      </c>
      <c r="G26" s="7"/>
      <c r="H26" s="138" t="s">
        <v>407</v>
      </c>
      <c r="I26" s="6"/>
      <c r="J26" s="6"/>
      <c r="K26" s="6"/>
      <c r="L26" s="6"/>
      <c r="M26" s="6"/>
      <c r="N26" s="6"/>
      <c r="O26" s="6"/>
      <c r="P26" s="6"/>
      <c r="Q26" s="6"/>
      <c r="R26" s="139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</row>
    <row r="27" ht="11.25" customHeight="1">
      <c r="A27" s="197" t="s">
        <v>408</v>
      </c>
      <c r="B27" s="147"/>
      <c r="C27" s="145"/>
      <c r="D27" s="146"/>
      <c r="E27" s="145"/>
      <c r="F27" s="146"/>
      <c r="G27" s="145"/>
      <c r="H27" s="146"/>
      <c r="I27" s="147"/>
      <c r="J27" s="147"/>
      <c r="K27" s="147"/>
      <c r="L27" s="147"/>
      <c r="M27" s="147"/>
      <c r="N27" s="147"/>
      <c r="O27" s="147"/>
      <c r="P27" s="147"/>
      <c r="Q27" s="147"/>
      <c r="R27" s="14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</row>
    <row r="28" ht="11.25" customHeight="1">
      <c r="A28" s="198" t="s">
        <v>409</v>
      </c>
      <c r="B28" s="157"/>
      <c r="C28" s="155"/>
      <c r="D28" s="156"/>
      <c r="E28" s="155"/>
      <c r="F28" s="156"/>
      <c r="G28" s="155"/>
      <c r="H28" s="156"/>
      <c r="I28" s="157"/>
      <c r="J28" s="157"/>
      <c r="K28" s="157"/>
      <c r="L28" s="157"/>
      <c r="M28" s="157"/>
      <c r="N28" s="157"/>
      <c r="O28" s="157"/>
      <c r="P28" s="157"/>
      <c r="Q28" s="157"/>
      <c r="R28" s="15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</row>
    <row r="29" ht="11.25" customHeight="1">
      <c r="A29" s="198" t="s">
        <v>410</v>
      </c>
      <c r="B29" s="157"/>
      <c r="C29" s="155"/>
      <c r="D29" s="156"/>
      <c r="E29" s="155"/>
      <c r="F29" s="156"/>
      <c r="G29" s="155"/>
      <c r="H29" s="156"/>
      <c r="I29" s="157"/>
      <c r="J29" s="157"/>
      <c r="K29" s="157"/>
      <c r="L29" s="157"/>
      <c r="M29" s="157"/>
      <c r="N29" s="157"/>
      <c r="O29" s="157"/>
      <c r="P29" s="157"/>
      <c r="Q29" s="157"/>
      <c r="R29" s="15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</row>
    <row r="30" ht="11.25" customHeight="1">
      <c r="A30" s="199" t="s">
        <v>411</v>
      </c>
      <c r="B30" s="200"/>
      <c r="C30" s="201"/>
      <c r="D30" s="202"/>
      <c r="E30" s="201"/>
      <c r="F30" s="202"/>
      <c r="G30" s="201"/>
      <c r="H30" s="202"/>
      <c r="I30" s="200"/>
      <c r="J30" s="200"/>
      <c r="K30" s="200"/>
      <c r="L30" s="200"/>
      <c r="M30" s="200"/>
      <c r="N30" s="200"/>
      <c r="O30" s="200"/>
      <c r="P30" s="200"/>
      <c r="Q30" s="200"/>
      <c r="R30" s="203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</row>
    <row r="31" ht="11.25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</row>
    <row r="32" ht="11.25" customHeight="1">
      <c r="A32" s="175" t="s">
        <v>412</v>
      </c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3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</row>
    <row r="33" ht="11.25" customHeight="1">
      <c r="A33" s="204" t="s">
        <v>413</v>
      </c>
      <c r="B33" s="192"/>
      <c r="C33" s="195"/>
      <c r="D33" s="181"/>
      <c r="E33" s="192"/>
      <c r="F33" s="205" t="s">
        <v>414</v>
      </c>
      <c r="G33" s="195"/>
      <c r="H33" s="192"/>
      <c r="I33" s="195"/>
      <c r="J33" s="181"/>
      <c r="K33" s="181"/>
      <c r="L33" s="181"/>
      <c r="M33" s="181"/>
      <c r="N33" s="181"/>
      <c r="O33" s="181"/>
      <c r="P33" s="181"/>
      <c r="Q33" s="181"/>
      <c r="R33" s="182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</row>
    <row r="34" ht="11.25" customHeight="1">
      <c r="A34" s="175" t="s">
        <v>415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3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</row>
    <row r="35" ht="11.25" customHeight="1">
      <c r="A35" s="196">
        <v>1.0</v>
      </c>
      <c r="B35" s="7"/>
      <c r="C35" s="138">
        <v>2.0</v>
      </c>
      <c r="D35" s="7"/>
      <c r="E35" s="138">
        <v>3.0</v>
      </c>
      <c r="F35" s="7"/>
      <c r="G35" s="138">
        <v>4.0</v>
      </c>
      <c r="H35" s="7"/>
      <c r="I35" s="138">
        <v>5.0</v>
      </c>
      <c r="J35" s="7"/>
      <c r="K35" s="138">
        <v>6.0</v>
      </c>
      <c r="L35" s="7"/>
      <c r="M35" s="138">
        <v>7.0</v>
      </c>
      <c r="N35" s="7"/>
      <c r="O35" s="138">
        <v>8.0</v>
      </c>
      <c r="P35" s="7"/>
      <c r="Q35" s="138">
        <v>9.0</v>
      </c>
      <c r="R35" s="139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</row>
    <row r="36" ht="11.25" customHeight="1">
      <c r="A36" s="206" t="s">
        <v>416</v>
      </c>
      <c r="B36" s="207" t="s">
        <v>417</v>
      </c>
      <c r="C36" s="208" t="s">
        <v>416</v>
      </c>
      <c r="D36" s="207" t="s">
        <v>417</v>
      </c>
      <c r="E36" s="208" t="s">
        <v>416</v>
      </c>
      <c r="F36" s="207" t="s">
        <v>417</v>
      </c>
      <c r="G36" s="208" t="s">
        <v>416</v>
      </c>
      <c r="H36" s="207" t="s">
        <v>417</v>
      </c>
      <c r="I36" s="208" t="s">
        <v>416</v>
      </c>
      <c r="J36" s="207" t="s">
        <v>417</v>
      </c>
      <c r="K36" s="208" t="s">
        <v>416</v>
      </c>
      <c r="L36" s="207" t="s">
        <v>417</v>
      </c>
      <c r="M36" s="208" t="s">
        <v>416</v>
      </c>
      <c r="N36" s="207" t="s">
        <v>417</v>
      </c>
      <c r="O36" s="208" t="s">
        <v>416</v>
      </c>
      <c r="P36" s="207" t="s">
        <v>417</v>
      </c>
      <c r="Q36" s="208" t="s">
        <v>416</v>
      </c>
      <c r="R36" s="209" t="s">
        <v>417</v>
      </c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</row>
    <row r="37" ht="11.25" customHeight="1">
      <c r="A37" s="210"/>
      <c r="B37" s="211"/>
      <c r="C37" s="212"/>
      <c r="D37" s="211"/>
      <c r="E37" s="212"/>
      <c r="F37" s="211"/>
      <c r="G37" s="212"/>
      <c r="H37" s="211"/>
      <c r="I37" s="212"/>
      <c r="J37" s="211"/>
      <c r="K37" s="212"/>
      <c r="L37" s="211"/>
      <c r="M37" s="212"/>
      <c r="N37" s="211"/>
      <c r="O37" s="212"/>
      <c r="P37" s="211"/>
      <c r="Q37" s="212"/>
      <c r="R37" s="213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</row>
    <row r="38" ht="11.25" customHeight="1">
      <c r="A38" s="175" t="s">
        <v>418</v>
      </c>
      <c r="B38" s="132"/>
      <c r="C38" s="132"/>
      <c r="D38" s="132"/>
      <c r="E38" s="132"/>
      <c r="F38" s="133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</row>
    <row r="39" ht="11.25" customHeight="1">
      <c r="A39" s="159">
        <v>0.0</v>
      </c>
      <c r="B39" s="45"/>
      <c r="C39" s="177"/>
      <c r="D39" s="147"/>
      <c r="E39" s="147"/>
      <c r="F39" s="148"/>
      <c r="G39" s="128"/>
      <c r="H39" s="175" t="s">
        <v>419</v>
      </c>
      <c r="I39" s="132"/>
      <c r="J39" s="132"/>
      <c r="K39" s="132"/>
      <c r="L39" s="132"/>
      <c r="M39" s="132"/>
      <c r="N39" s="132"/>
      <c r="O39" s="132"/>
      <c r="P39" s="132"/>
      <c r="Q39" s="132"/>
      <c r="R39" s="133"/>
      <c r="S39" s="128"/>
      <c r="T39" s="128"/>
      <c r="U39" s="128"/>
      <c r="V39" s="128"/>
      <c r="W39" s="128"/>
      <c r="X39" s="128"/>
      <c r="Y39" s="128"/>
      <c r="Z39" s="175" t="s">
        <v>420</v>
      </c>
      <c r="AA39" s="132"/>
      <c r="AB39" s="132"/>
      <c r="AC39" s="132"/>
      <c r="AD39" s="132"/>
      <c r="AE39" s="132"/>
      <c r="AF39" s="132"/>
      <c r="AG39" s="132"/>
      <c r="AH39" s="132"/>
      <c r="AI39" s="132"/>
      <c r="AJ39" s="133"/>
    </row>
    <row r="40" ht="11.25" customHeight="1">
      <c r="A40" s="162"/>
      <c r="B40" s="58"/>
      <c r="C40" s="178"/>
      <c r="D40" s="157"/>
      <c r="E40" s="157"/>
      <c r="F40" s="158"/>
      <c r="G40" s="128"/>
      <c r="H40" s="196" t="s">
        <v>421</v>
      </c>
      <c r="I40" s="6"/>
      <c r="J40" s="7"/>
      <c r="K40" s="138" t="s">
        <v>422</v>
      </c>
      <c r="L40" s="6"/>
      <c r="M40" s="6"/>
      <c r="N40" s="6"/>
      <c r="O40" s="6"/>
      <c r="P40" s="6"/>
      <c r="Q40" s="6"/>
      <c r="R40" s="139"/>
      <c r="S40" s="128"/>
      <c r="T40" s="128"/>
      <c r="U40" s="128"/>
      <c r="V40" s="128"/>
      <c r="W40" s="128"/>
      <c r="X40" s="128"/>
      <c r="Y40" s="128"/>
      <c r="Z40" s="196" t="s">
        <v>356</v>
      </c>
      <c r="AA40" s="6"/>
      <c r="AB40" s="7"/>
      <c r="AC40" s="138" t="s">
        <v>423</v>
      </c>
      <c r="AD40" s="6"/>
      <c r="AE40" s="6"/>
      <c r="AF40" s="6"/>
      <c r="AG40" s="6"/>
      <c r="AH40" s="6"/>
      <c r="AI40" s="6"/>
      <c r="AJ40" s="139"/>
    </row>
    <row r="41" ht="11.25" customHeight="1">
      <c r="A41" s="162"/>
      <c r="B41" s="58"/>
      <c r="C41" s="178"/>
      <c r="D41" s="157"/>
      <c r="E41" s="157"/>
      <c r="F41" s="158"/>
      <c r="G41" s="128"/>
      <c r="H41" s="214"/>
      <c r="I41" s="147"/>
      <c r="J41" s="145"/>
      <c r="K41" s="146"/>
      <c r="L41" s="147"/>
      <c r="M41" s="147"/>
      <c r="N41" s="147"/>
      <c r="O41" s="147"/>
      <c r="P41" s="147"/>
      <c r="Q41" s="147"/>
      <c r="R41" s="148"/>
      <c r="S41" s="128"/>
      <c r="T41" s="128"/>
      <c r="U41" s="128"/>
      <c r="V41" s="128"/>
      <c r="W41" s="128"/>
      <c r="X41" s="128"/>
      <c r="Y41" s="128"/>
      <c r="Z41" s="214" t="s">
        <v>424</v>
      </c>
      <c r="AA41" s="147"/>
      <c r="AB41" s="145"/>
      <c r="AC41" s="146" t="s">
        <v>425</v>
      </c>
      <c r="AD41" s="147"/>
      <c r="AE41" s="147"/>
      <c r="AF41" s="147"/>
      <c r="AG41" s="147"/>
      <c r="AH41" s="147"/>
      <c r="AI41" s="147"/>
      <c r="AJ41" s="148"/>
    </row>
    <row r="42" ht="11.25" customHeight="1">
      <c r="A42" s="162"/>
      <c r="B42" s="58"/>
      <c r="C42" s="178"/>
      <c r="D42" s="157"/>
      <c r="E42" s="157"/>
      <c r="F42" s="158"/>
      <c r="G42" s="128"/>
      <c r="H42" s="215"/>
      <c r="I42" s="157"/>
      <c r="J42" s="155"/>
      <c r="K42" s="156"/>
      <c r="L42" s="157"/>
      <c r="M42" s="157"/>
      <c r="N42" s="157"/>
      <c r="O42" s="157"/>
      <c r="P42" s="157"/>
      <c r="Q42" s="157"/>
      <c r="R42" s="158"/>
      <c r="S42" s="128"/>
      <c r="T42" s="128"/>
      <c r="U42" s="128"/>
      <c r="V42" s="128"/>
      <c r="W42" s="128"/>
      <c r="X42" s="128"/>
      <c r="Y42" s="128"/>
      <c r="Z42" s="215" t="s">
        <v>426</v>
      </c>
      <c r="AA42" s="157"/>
      <c r="AB42" s="155"/>
      <c r="AC42" s="156" t="s">
        <v>427</v>
      </c>
      <c r="AD42" s="157"/>
      <c r="AE42" s="157"/>
      <c r="AF42" s="157"/>
      <c r="AG42" s="157"/>
      <c r="AH42" s="157"/>
      <c r="AI42" s="157"/>
      <c r="AJ42" s="158"/>
    </row>
    <row r="43" ht="11.25" customHeight="1">
      <c r="A43" s="169"/>
      <c r="B43" s="51"/>
      <c r="C43" s="179"/>
      <c r="D43" s="167"/>
      <c r="E43" s="167"/>
      <c r="F43" s="168"/>
      <c r="G43" s="128"/>
      <c r="H43" s="215"/>
      <c r="I43" s="157"/>
      <c r="J43" s="155"/>
      <c r="K43" s="156"/>
      <c r="L43" s="157"/>
      <c r="M43" s="157"/>
      <c r="N43" s="157"/>
      <c r="O43" s="157"/>
      <c r="P43" s="157"/>
      <c r="Q43" s="157"/>
      <c r="R43" s="158"/>
      <c r="S43" s="128"/>
      <c r="T43" s="128"/>
      <c r="U43" s="128"/>
      <c r="V43" s="128"/>
      <c r="W43" s="128"/>
      <c r="X43" s="128"/>
      <c r="Y43" s="128"/>
      <c r="Z43" s="215" t="s">
        <v>428</v>
      </c>
      <c r="AA43" s="157"/>
      <c r="AB43" s="155"/>
      <c r="AC43" s="156" t="s">
        <v>429</v>
      </c>
      <c r="AD43" s="157"/>
      <c r="AE43" s="157"/>
      <c r="AF43" s="157"/>
      <c r="AG43" s="157"/>
      <c r="AH43" s="157"/>
      <c r="AI43" s="157"/>
      <c r="AJ43" s="158"/>
    </row>
    <row r="44" ht="11.25" customHeight="1">
      <c r="A44" s="159">
        <v>1.0</v>
      </c>
      <c r="B44" s="45"/>
      <c r="C44" s="177"/>
      <c r="D44" s="147"/>
      <c r="E44" s="147"/>
      <c r="F44" s="148"/>
      <c r="G44" s="128"/>
      <c r="H44" s="215"/>
      <c r="I44" s="157"/>
      <c r="J44" s="155"/>
      <c r="K44" s="156"/>
      <c r="L44" s="157"/>
      <c r="M44" s="157"/>
      <c r="N44" s="157"/>
      <c r="O44" s="157"/>
      <c r="P44" s="157"/>
      <c r="Q44" s="157"/>
      <c r="R44" s="158"/>
      <c r="S44" s="128"/>
      <c r="T44" s="128"/>
      <c r="U44" s="128"/>
      <c r="V44" s="128"/>
      <c r="W44" s="128"/>
      <c r="X44" s="128"/>
      <c r="Y44" s="128"/>
      <c r="Z44" s="215" t="s">
        <v>430</v>
      </c>
      <c r="AA44" s="157"/>
      <c r="AB44" s="155"/>
      <c r="AC44" s="156" t="s">
        <v>431</v>
      </c>
      <c r="AD44" s="157"/>
      <c r="AE44" s="157"/>
      <c r="AF44" s="157"/>
      <c r="AG44" s="157"/>
      <c r="AH44" s="157"/>
      <c r="AI44" s="157"/>
      <c r="AJ44" s="158"/>
    </row>
    <row r="45" ht="11.25" customHeight="1">
      <c r="A45" s="162"/>
      <c r="B45" s="58"/>
      <c r="C45" s="178"/>
      <c r="D45" s="157"/>
      <c r="E45" s="157"/>
      <c r="F45" s="158"/>
      <c r="G45" s="128"/>
      <c r="H45" s="215"/>
      <c r="I45" s="157"/>
      <c r="J45" s="155"/>
      <c r="K45" s="156"/>
      <c r="L45" s="157"/>
      <c r="M45" s="157"/>
      <c r="N45" s="157"/>
      <c r="O45" s="157"/>
      <c r="P45" s="157"/>
      <c r="Q45" s="157"/>
      <c r="R45" s="158"/>
      <c r="S45" s="128"/>
      <c r="T45" s="128"/>
      <c r="U45" s="128"/>
      <c r="V45" s="128"/>
      <c r="W45" s="128"/>
      <c r="X45" s="128"/>
      <c r="Y45" s="128"/>
      <c r="Z45" s="215" t="s">
        <v>432</v>
      </c>
      <c r="AA45" s="157"/>
      <c r="AB45" s="155"/>
      <c r="AC45" s="156" t="s">
        <v>433</v>
      </c>
      <c r="AD45" s="157"/>
      <c r="AE45" s="157"/>
      <c r="AF45" s="157"/>
      <c r="AG45" s="157"/>
      <c r="AH45" s="157"/>
      <c r="AI45" s="157"/>
      <c r="AJ45" s="158"/>
    </row>
    <row r="46" ht="11.25" customHeight="1">
      <c r="A46" s="162"/>
      <c r="B46" s="58"/>
      <c r="C46" s="178"/>
      <c r="D46" s="157"/>
      <c r="E46" s="157"/>
      <c r="F46" s="158"/>
      <c r="G46" s="128"/>
      <c r="H46" s="215"/>
      <c r="I46" s="157"/>
      <c r="J46" s="155"/>
      <c r="K46" s="156"/>
      <c r="L46" s="157"/>
      <c r="M46" s="157"/>
      <c r="N46" s="157"/>
      <c r="O46" s="157"/>
      <c r="P46" s="157"/>
      <c r="Q46" s="157"/>
      <c r="R46" s="158"/>
      <c r="S46" s="128"/>
      <c r="T46" s="128"/>
      <c r="U46" s="128"/>
      <c r="V46" s="128"/>
      <c r="W46" s="128"/>
      <c r="X46" s="128"/>
      <c r="Y46" s="128"/>
      <c r="Z46" s="215" t="s">
        <v>141</v>
      </c>
      <c r="AA46" s="157"/>
      <c r="AB46" s="155"/>
      <c r="AC46" s="156" t="s">
        <v>434</v>
      </c>
      <c r="AD46" s="157"/>
      <c r="AE46" s="157"/>
      <c r="AF46" s="157"/>
      <c r="AG46" s="157"/>
      <c r="AH46" s="157"/>
      <c r="AI46" s="157"/>
      <c r="AJ46" s="158"/>
    </row>
    <row r="47" ht="11.25" customHeight="1">
      <c r="A47" s="162"/>
      <c r="B47" s="58"/>
      <c r="C47" s="178"/>
      <c r="D47" s="157"/>
      <c r="E47" s="157"/>
      <c r="F47" s="158"/>
      <c r="G47" s="128"/>
      <c r="H47" s="215"/>
      <c r="I47" s="157"/>
      <c r="J47" s="155"/>
      <c r="K47" s="156"/>
      <c r="L47" s="157"/>
      <c r="M47" s="157"/>
      <c r="N47" s="157"/>
      <c r="O47" s="157"/>
      <c r="P47" s="157"/>
      <c r="Q47" s="157"/>
      <c r="R47" s="158"/>
      <c r="S47" s="128"/>
      <c r="T47" s="128"/>
      <c r="U47" s="128"/>
      <c r="V47" s="128"/>
      <c r="W47" s="128"/>
      <c r="X47" s="128"/>
      <c r="Y47" s="128"/>
      <c r="Z47" s="215" t="s">
        <v>435</v>
      </c>
      <c r="AA47" s="157"/>
      <c r="AB47" s="155"/>
      <c r="AC47" s="156" t="s">
        <v>436</v>
      </c>
      <c r="AD47" s="157"/>
      <c r="AE47" s="157"/>
      <c r="AF47" s="157"/>
      <c r="AG47" s="157"/>
      <c r="AH47" s="157"/>
      <c r="AI47" s="157"/>
      <c r="AJ47" s="158"/>
    </row>
    <row r="48" ht="11.25" customHeight="1">
      <c r="A48" s="169"/>
      <c r="B48" s="51"/>
      <c r="C48" s="179"/>
      <c r="D48" s="167"/>
      <c r="E48" s="167"/>
      <c r="F48" s="168"/>
      <c r="G48" s="128"/>
      <c r="H48" s="215"/>
      <c r="I48" s="157"/>
      <c r="J48" s="155"/>
      <c r="K48" s="156"/>
      <c r="L48" s="157"/>
      <c r="M48" s="157"/>
      <c r="N48" s="157"/>
      <c r="O48" s="157"/>
      <c r="P48" s="157"/>
      <c r="Q48" s="157"/>
      <c r="R48" s="158"/>
      <c r="S48" s="128"/>
      <c r="T48" s="128"/>
      <c r="U48" s="128"/>
      <c r="V48" s="128"/>
      <c r="W48" s="128"/>
      <c r="X48" s="128"/>
      <c r="Y48" s="128"/>
      <c r="Z48" s="215" t="s">
        <v>437</v>
      </c>
      <c r="AA48" s="157"/>
      <c r="AB48" s="155"/>
      <c r="AC48" s="156" t="s">
        <v>438</v>
      </c>
      <c r="AD48" s="157"/>
      <c r="AE48" s="157"/>
      <c r="AF48" s="157"/>
      <c r="AG48" s="157"/>
      <c r="AH48" s="157"/>
      <c r="AI48" s="157"/>
      <c r="AJ48" s="158"/>
    </row>
    <row r="49" ht="11.25" customHeight="1">
      <c r="A49" s="159">
        <v>2.0</v>
      </c>
      <c r="B49" s="45"/>
      <c r="C49" s="177"/>
      <c r="D49" s="147"/>
      <c r="E49" s="147"/>
      <c r="F49" s="148"/>
      <c r="G49" s="128"/>
      <c r="H49" s="215"/>
      <c r="I49" s="157"/>
      <c r="J49" s="155"/>
      <c r="K49" s="156"/>
      <c r="L49" s="157"/>
      <c r="M49" s="157"/>
      <c r="N49" s="157"/>
      <c r="O49" s="157"/>
      <c r="P49" s="157"/>
      <c r="Q49" s="157"/>
      <c r="R49" s="158"/>
      <c r="S49" s="128"/>
      <c r="T49" s="128"/>
      <c r="U49" s="128"/>
      <c r="V49" s="128"/>
      <c r="W49" s="128"/>
      <c r="X49" s="128"/>
      <c r="Y49" s="128"/>
      <c r="Z49" s="215"/>
      <c r="AA49" s="157"/>
      <c r="AB49" s="155"/>
      <c r="AC49" s="156"/>
      <c r="AD49" s="157"/>
      <c r="AE49" s="157"/>
      <c r="AF49" s="157"/>
      <c r="AG49" s="157"/>
      <c r="AH49" s="157"/>
      <c r="AI49" s="157"/>
      <c r="AJ49" s="158"/>
    </row>
    <row r="50" ht="11.25" customHeight="1">
      <c r="A50" s="162"/>
      <c r="B50" s="58"/>
      <c r="C50" s="178"/>
      <c r="D50" s="157"/>
      <c r="E50" s="157"/>
      <c r="F50" s="158"/>
      <c r="G50" s="128"/>
      <c r="H50" s="216"/>
      <c r="I50" s="200"/>
      <c r="J50" s="201"/>
      <c r="K50" s="202"/>
      <c r="L50" s="200"/>
      <c r="M50" s="200"/>
      <c r="N50" s="200"/>
      <c r="O50" s="200"/>
      <c r="P50" s="200"/>
      <c r="Q50" s="200"/>
      <c r="R50" s="203"/>
      <c r="S50" s="128"/>
      <c r="T50" s="128"/>
      <c r="U50" s="128"/>
      <c r="V50" s="128"/>
      <c r="W50" s="128"/>
      <c r="X50" s="128"/>
      <c r="Y50" s="128"/>
      <c r="Z50" s="216"/>
      <c r="AA50" s="200"/>
      <c r="AB50" s="201"/>
      <c r="AC50" s="202"/>
      <c r="AD50" s="200"/>
      <c r="AE50" s="200"/>
      <c r="AF50" s="200"/>
      <c r="AG50" s="200"/>
      <c r="AH50" s="200"/>
      <c r="AI50" s="200"/>
      <c r="AJ50" s="203"/>
    </row>
    <row r="51" ht="11.25" customHeight="1">
      <c r="A51" s="169"/>
      <c r="B51" s="51"/>
      <c r="C51" s="179"/>
      <c r="D51" s="167"/>
      <c r="E51" s="167"/>
      <c r="F51" s="16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</row>
    <row r="52" ht="11.25" customHeight="1">
      <c r="A52" s="159">
        <v>3.0</v>
      </c>
      <c r="B52" s="45"/>
      <c r="C52" s="177"/>
      <c r="D52" s="147"/>
      <c r="E52" s="147"/>
      <c r="F52" s="148"/>
      <c r="G52" s="128"/>
      <c r="H52" s="175" t="s">
        <v>439</v>
      </c>
      <c r="I52" s="132"/>
      <c r="J52" s="132"/>
      <c r="K52" s="132"/>
      <c r="L52" s="132"/>
      <c r="M52" s="132"/>
      <c r="N52" s="132"/>
      <c r="O52" s="132"/>
      <c r="P52" s="132"/>
      <c r="Q52" s="132"/>
      <c r="R52" s="133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</row>
    <row r="53" ht="11.25" customHeight="1">
      <c r="A53" s="162"/>
      <c r="B53" s="58"/>
      <c r="C53" s="178"/>
      <c r="D53" s="157"/>
      <c r="E53" s="157"/>
      <c r="F53" s="158"/>
      <c r="G53" s="128"/>
      <c r="H53" s="196" t="s">
        <v>0</v>
      </c>
      <c r="I53" s="6"/>
      <c r="J53" s="7"/>
      <c r="K53" s="138" t="s">
        <v>135</v>
      </c>
      <c r="L53" s="6"/>
      <c r="M53" s="6"/>
      <c r="N53" s="6"/>
      <c r="O53" s="6"/>
      <c r="P53" s="6"/>
      <c r="Q53" s="6"/>
      <c r="R53" s="139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</row>
    <row r="54" ht="11.25" customHeight="1">
      <c r="A54" s="169"/>
      <c r="B54" s="51"/>
      <c r="C54" s="179"/>
      <c r="D54" s="167"/>
      <c r="E54" s="167"/>
      <c r="F54" s="168"/>
      <c r="G54" s="128"/>
      <c r="H54" s="214"/>
      <c r="I54" s="147"/>
      <c r="J54" s="145"/>
      <c r="K54" s="146"/>
      <c r="L54" s="147"/>
      <c r="M54" s="147"/>
      <c r="N54" s="147"/>
      <c r="O54" s="147"/>
      <c r="P54" s="147"/>
      <c r="Q54" s="147"/>
      <c r="R54" s="14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</row>
    <row r="55" ht="11.25" customHeight="1">
      <c r="A55" s="159">
        <v>4.0</v>
      </c>
      <c r="B55" s="45"/>
      <c r="C55" s="177"/>
      <c r="D55" s="147"/>
      <c r="E55" s="147"/>
      <c r="F55" s="148"/>
      <c r="G55" s="128"/>
      <c r="H55" s="215"/>
      <c r="I55" s="157"/>
      <c r="J55" s="155"/>
      <c r="K55" s="156"/>
      <c r="L55" s="157"/>
      <c r="M55" s="157"/>
      <c r="N55" s="157"/>
      <c r="O55" s="157"/>
      <c r="P55" s="157"/>
      <c r="Q55" s="157"/>
      <c r="R55" s="15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</row>
    <row r="56" ht="11.25" customHeight="1">
      <c r="A56" s="162"/>
      <c r="B56" s="58"/>
      <c r="C56" s="178"/>
      <c r="D56" s="157"/>
      <c r="E56" s="157"/>
      <c r="F56" s="158"/>
      <c r="G56" s="128"/>
      <c r="H56" s="215"/>
      <c r="I56" s="157"/>
      <c r="J56" s="155"/>
      <c r="K56" s="156"/>
      <c r="L56" s="157"/>
      <c r="M56" s="157"/>
      <c r="N56" s="157"/>
      <c r="O56" s="157"/>
      <c r="P56" s="157"/>
      <c r="Q56" s="157"/>
      <c r="R56" s="15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ht="11.25" customHeight="1">
      <c r="A57" s="169"/>
      <c r="B57" s="51"/>
      <c r="C57" s="179"/>
      <c r="D57" s="167"/>
      <c r="E57" s="167"/>
      <c r="F57" s="168"/>
      <c r="G57" s="128"/>
      <c r="H57" s="215"/>
      <c r="I57" s="157"/>
      <c r="J57" s="155"/>
      <c r="K57" s="156"/>
      <c r="L57" s="157"/>
      <c r="M57" s="157"/>
      <c r="N57" s="157"/>
      <c r="O57" s="157"/>
      <c r="P57" s="157"/>
      <c r="Q57" s="157"/>
      <c r="R57" s="15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</row>
    <row r="58" ht="11.25" customHeight="1">
      <c r="A58" s="159">
        <v>5.0</v>
      </c>
      <c r="B58" s="45"/>
      <c r="C58" s="177"/>
      <c r="D58" s="147"/>
      <c r="E58" s="147"/>
      <c r="F58" s="148"/>
      <c r="G58" s="128"/>
      <c r="H58" s="215"/>
      <c r="I58" s="157"/>
      <c r="J58" s="155"/>
      <c r="K58" s="156"/>
      <c r="L58" s="157"/>
      <c r="M58" s="157"/>
      <c r="N58" s="157"/>
      <c r="O58" s="157"/>
      <c r="P58" s="157"/>
      <c r="Q58" s="157"/>
      <c r="R58" s="15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</row>
    <row r="59" ht="11.25" customHeight="1">
      <c r="A59" s="162"/>
      <c r="B59" s="58"/>
      <c r="C59" s="178"/>
      <c r="D59" s="157"/>
      <c r="E59" s="157"/>
      <c r="F59" s="158"/>
      <c r="G59" s="128"/>
      <c r="H59" s="215"/>
      <c r="I59" s="157"/>
      <c r="J59" s="155"/>
      <c r="K59" s="156"/>
      <c r="L59" s="157"/>
      <c r="M59" s="157"/>
      <c r="N59" s="157"/>
      <c r="O59" s="157"/>
      <c r="P59" s="157"/>
      <c r="Q59" s="157"/>
      <c r="R59" s="15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</row>
    <row r="60" ht="11.25" customHeight="1">
      <c r="A60" s="169"/>
      <c r="B60" s="51"/>
      <c r="C60" s="179"/>
      <c r="D60" s="167"/>
      <c r="E60" s="167"/>
      <c r="F60" s="168"/>
      <c r="G60" s="128"/>
      <c r="H60" s="215"/>
      <c r="I60" s="157"/>
      <c r="J60" s="155"/>
      <c r="K60" s="156"/>
      <c r="L60" s="157"/>
      <c r="M60" s="157"/>
      <c r="N60" s="157"/>
      <c r="O60" s="157"/>
      <c r="P60" s="157"/>
      <c r="Q60" s="157"/>
      <c r="R60" s="15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</row>
    <row r="61" ht="11.25" customHeight="1">
      <c r="A61" s="149">
        <v>6.0</v>
      </c>
      <c r="B61" s="7"/>
      <c r="C61" s="138"/>
      <c r="D61" s="6"/>
      <c r="E61" s="6"/>
      <c r="F61" s="139"/>
      <c r="G61" s="128"/>
      <c r="H61" s="215"/>
      <c r="I61" s="157"/>
      <c r="J61" s="155"/>
      <c r="K61" s="156"/>
      <c r="L61" s="157"/>
      <c r="M61" s="157"/>
      <c r="N61" s="157"/>
      <c r="O61" s="157"/>
      <c r="P61" s="157"/>
      <c r="Q61" s="157"/>
      <c r="R61" s="15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</row>
    <row r="62" ht="11.25" customHeight="1">
      <c r="A62" s="149">
        <v>7.0</v>
      </c>
      <c r="B62" s="7"/>
      <c r="C62" s="138"/>
      <c r="D62" s="6"/>
      <c r="E62" s="6"/>
      <c r="F62" s="139"/>
      <c r="G62" s="128"/>
      <c r="H62" s="215"/>
      <c r="I62" s="157"/>
      <c r="J62" s="155"/>
      <c r="K62" s="156"/>
      <c r="L62" s="157"/>
      <c r="M62" s="157"/>
      <c r="N62" s="157"/>
      <c r="O62" s="157"/>
      <c r="P62" s="157"/>
      <c r="Q62" s="157"/>
      <c r="R62" s="15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</row>
    <row r="63" ht="11.25" customHeight="1">
      <c r="A63" s="149">
        <v>8.0</v>
      </c>
      <c r="B63" s="7"/>
      <c r="C63" s="138"/>
      <c r="D63" s="6"/>
      <c r="E63" s="6"/>
      <c r="F63" s="139"/>
      <c r="G63" s="128"/>
      <c r="H63" s="215"/>
      <c r="I63" s="157"/>
      <c r="J63" s="155"/>
      <c r="K63" s="156"/>
      <c r="L63" s="157"/>
      <c r="M63" s="157"/>
      <c r="N63" s="157"/>
      <c r="O63" s="157"/>
      <c r="P63" s="157"/>
      <c r="Q63" s="157"/>
      <c r="R63" s="15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</row>
    <row r="64" ht="11.25" customHeight="1">
      <c r="A64" s="217">
        <v>9.0</v>
      </c>
      <c r="B64" s="192"/>
      <c r="C64" s="195"/>
      <c r="D64" s="181"/>
      <c r="E64" s="181"/>
      <c r="F64" s="182"/>
      <c r="G64" s="128"/>
      <c r="H64" s="216"/>
      <c r="I64" s="200"/>
      <c r="J64" s="201"/>
      <c r="K64" s="202"/>
      <c r="L64" s="200"/>
      <c r="M64" s="200"/>
      <c r="N64" s="200"/>
      <c r="O64" s="200"/>
      <c r="P64" s="200"/>
      <c r="Q64" s="200"/>
      <c r="R64" s="203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</row>
    <row r="65" ht="11.25" customHeight="1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</row>
    <row r="66" ht="11.25" customHeight="1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</row>
    <row r="67" ht="11.25" customHeight="1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</row>
    <row r="68" ht="11.25" customHeight="1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</row>
    <row r="69" ht="11.25" customHeight="1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</row>
    <row r="70" ht="11.25" customHeight="1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</row>
    <row r="71" ht="11.25" customHeight="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</row>
    <row r="72" ht="11.25" customHeight="1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</row>
    <row r="73" ht="11.25" customHeight="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</row>
    <row r="74" ht="11.25" customHeight="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</row>
    <row r="75" ht="11.25" customHeight="1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</row>
    <row r="76" ht="11.25" customHeight="1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</row>
    <row r="77" ht="11.25" customHeight="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</row>
    <row r="78" ht="11.25" customHeight="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</row>
    <row r="79" ht="11.25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</row>
    <row r="80" ht="11.25" customHeight="1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</row>
    <row r="81" ht="11.25" customHeight="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</row>
    <row r="82" ht="11.25" customHeight="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</row>
    <row r="83" ht="11.25" customHeight="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</row>
    <row r="84" ht="11.25" customHeight="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</row>
    <row r="85" ht="11.25" customHeight="1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</row>
    <row r="86" ht="11.25" customHeight="1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</row>
    <row r="87" ht="11.25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</row>
    <row r="88" ht="11.25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</row>
    <row r="89" ht="11.25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</row>
    <row r="90" ht="11.25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</row>
    <row r="91" ht="11.25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</row>
    <row r="92" ht="11.25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</row>
    <row r="93" ht="11.25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</row>
    <row r="94" ht="11.25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</row>
    <row r="95" ht="11.25" customHeight="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</row>
    <row r="96" ht="11.25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</row>
    <row r="97" ht="11.25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</row>
    <row r="98" ht="11.25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</row>
    <row r="99" ht="11.25" customHeight="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</row>
    <row r="100" ht="11.25" customHeight="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</row>
    <row r="101" ht="11.25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</row>
    <row r="102" ht="11.25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</row>
    <row r="103" ht="11.25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</row>
    <row r="104" ht="11.25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</row>
    <row r="105" ht="11.25" customHeight="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</row>
    <row r="106" ht="11.25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</row>
    <row r="107" ht="11.25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</row>
    <row r="108" ht="11.25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</row>
    <row r="109" ht="11.25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</row>
    <row r="110" ht="11.25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</row>
    <row r="111" ht="11.25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</row>
    <row r="112" ht="11.25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</row>
    <row r="113" ht="11.25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</row>
    <row r="114" ht="11.25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</row>
    <row r="115" ht="11.25" customHeight="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</row>
    <row r="116" ht="11.25" customHeight="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</row>
    <row r="117" ht="11.25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</row>
    <row r="118" ht="11.25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</row>
    <row r="119" ht="11.25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</row>
    <row r="120" ht="11.25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</row>
    <row r="121" ht="11.25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</row>
    <row r="122" ht="11.25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</row>
    <row r="123" ht="11.25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</row>
    <row r="124" ht="11.25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</row>
    <row r="125" ht="11.25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</row>
    <row r="126" ht="11.25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</row>
    <row r="127" ht="11.25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</row>
    <row r="128" ht="11.25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</row>
    <row r="129" ht="11.25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</row>
    <row r="130" ht="11.25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</row>
    <row r="131" ht="11.25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</row>
    <row r="132" ht="11.25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</row>
    <row r="133" ht="11.25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</row>
    <row r="134" ht="11.25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</row>
    <row r="135" ht="11.25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</row>
    <row r="136" ht="11.25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</row>
    <row r="137" ht="11.25" customHeight="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</row>
    <row r="138" ht="11.25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</row>
    <row r="139" ht="11.25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</row>
    <row r="140" ht="11.25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</row>
    <row r="141" ht="11.25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</row>
    <row r="142" ht="11.25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</row>
    <row r="143" ht="11.25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</row>
    <row r="144" ht="11.25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</row>
    <row r="145" ht="11.25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</row>
    <row r="146" ht="11.25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</row>
    <row r="147" ht="11.25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</row>
    <row r="148" ht="11.25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</row>
    <row r="149" ht="11.25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</row>
    <row r="150" ht="11.25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</row>
    <row r="151" ht="11.25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</row>
    <row r="152" ht="11.25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</row>
    <row r="153" ht="11.25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</row>
    <row r="154" ht="11.25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</row>
    <row r="155" ht="11.25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</row>
    <row r="156" ht="11.25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</row>
    <row r="157" ht="11.25" customHeight="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</row>
    <row r="158" ht="11.25" customHeight="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</row>
    <row r="159" ht="11.25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</row>
    <row r="160" ht="11.25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</row>
    <row r="161" ht="11.25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</row>
    <row r="162" ht="11.25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</row>
    <row r="163" ht="11.25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</row>
    <row r="164" ht="11.25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</row>
    <row r="165" ht="11.25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</row>
    <row r="166" ht="11.25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</row>
    <row r="167" ht="11.25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</row>
    <row r="168" ht="11.25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</row>
    <row r="169" ht="11.25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</row>
    <row r="170" ht="11.25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</row>
    <row r="171" ht="11.25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</row>
    <row r="172" ht="11.25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</row>
    <row r="173" ht="11.25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</row>
    <row r="174" ht="11.25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</row>
    <row r="175" ht="11.25" customHeight="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</row>
    <row r="176" ht="11.25" customHeight="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</row>
    <row r="177" ht="11.25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</row>
    <row r="178" ht="11.25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</row>
    <row r="179" ht="11.25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</row>
    <row r="180" ht="11.25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</row>
    <row r="181" ht="11.25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</row>
    <row r="182" ht="11.25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</row>
    <row r="183" ht="11.25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</row>
    <row r="184" ht="11.25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</row>
    <row r="185" ht="11.25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</row>
    <row r="186" ht="11.25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</row>
    <row r="187" ht="11.25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</row>
    <row r="188" ht="11.25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</row>
    <row r="189" ht="11.25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</row>
    <row r="190" ht="11.25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</row>
    <row r="191" ht="11.25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</row>
    <row r="192" ht="11.25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</row>
    <row r="193" ht="11.25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</row>
    <row r="194" ht="11.25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</row>
    <row r="195" ht="11.25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</row>
    <row r="196" ht="11.25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</row>
    <row r="197" ht="11.25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</row>
    <row r="198" ht="11.25" customHeight="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</row>
    <row r="199" ht="11.25" customHeight="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</row>
    <row r="200" ht="11.25" customHeight="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</row>
    <row r="201" ht="11.25" customHeight="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</row>
    <row r="202" ht="11.25" customHeight="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</row>
    <row r="203" ht="11.25" customHeight="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</row>
    <row r="204" ht="11.25" customHeight="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</row>
    <row r="205" ht="11.25" customHeight="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</row>
    <row r="206" ht="11.25" customHeight="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</row>
    <row r="207" ht="11.25" customHeight="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</row>
    <row r="208" ht="11.25" customHeight="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</row>
    <row r="209" ht="11.25" customHeight="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</row>
    <row r="210" ht="11.25" customHeight="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</row>
    <row r="211" ht="11.25" customHeight="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</row>
    <row r="212" ht="11.25" customHeight="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</row>
    <row r="213" ht="11.25" customHeight="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</row>
    <row r="214" ht="11.25" customHeight="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</row>
    <row r="215" ht="11.25" customHeight="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</row>
    <row r="216" ht="11.25" customHeight="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</row>
    <row r="217" ht="11.25" customHeight="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ht="11.25" customHeight="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</row>
    <row r="219" ht="11.25" customHeight="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</row>
    <row r="220" ht="11.25" customHeight="1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</row>
    <row r="221" ht="11.25" customHeight="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</row>
    <row r="222" ht="11.25" customHeight="1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</row>
    <row r="223" ht="11.25" customHeight="1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</row>
    <row r="224" ht="11.25" customHeight="1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</row>
    <row r="225" ht="11.25" customHeight="1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</row>
    <row r="226" ht="11.25" customHeight="1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</row>
    <row r="227" ht="11.25" customHeight="1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</row>
    <row r="228" ht="11.25" customHeight="1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</row>
    <row r="229" ht="11.25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</row>
    <row r="230" ht="11.25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</row>
    <row r="231" ht="11.25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</row>
    <row r="232" ht="11.25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</row>
    <row r="233" ht="11.25" customHeight="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</row>
    <row r="234" ht="11.25" customHeight="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</row>
    <row r="235" ht="11.25" customHeight="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</row>
    <row r="236" ht="11.25" customHeight="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</row>
    <row r="237" ht="11.25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</row>
    <row r="238" ht="11.25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</row>
    <row r="239" ht="11.25" customHeight="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</row>
    <row r="240" ht="11.25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</row>
    <row r="241" ht="11.2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</row>
    <row r="242" ht="11.25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</row>
    <row r="243" ht="11.25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</row>
    <row r="244" ht="11.25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</row>
    <row r="245" ht="11.25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</row>
    <row r="246" ht="11.25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</row>
    <row r="247" ht="11.25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</row>
    <row r="248" ht="11.25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</row>
    <row r="249" ht="11.25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</row>
    <row r="250" ht="11.25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</row>
    <row r="251" ht="11.25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</row>
    <row r="252" ht="11.25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</row>
    <row r="253" ht="11.25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</row>
    <row r="254" ht="11.25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</row>
    <row r="255" ht="11.25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</row>
    <row r="256" ht="11.2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</row>
    <row r="257" ht="11.25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</row>
    <row r="258" ht="11.25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</row>
    <row r="259" ht="11.25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</row>
    <row r="260" ht="11.25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</row>
    <row r="261" ht="11.25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</row>
    <row r="262" ht="11.25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</row>
    <row r="263" ht="11.25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</row>
    <row r="264" ht="11.25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</row>
    <row r="265" ht="11.25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</row>
    <row r="266" ht="11.25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</row>
    <row r="267" ht="11.25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</row>
    <row r="268" ht="11.25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</row>
    <row r="269" ht="11.25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</row>
    <row r="270" ht="11.2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</row>
    <row r="271" ht="11.25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</row>
    <row r="272" ht="11.25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</row>
    <row r="273" ht="11.25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</row>
    <row r="274" ht="11.25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</row>
    <row r="275" ht="11.25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</row>
    <row r="276" ht="11.25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</row>
    <row r="277" ht="11.25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</row>
    <row r="278" ht="11.25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</row>
    <row r="279" ht="11.25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</row>
    <row r="280" ht="11.25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</row>
    <row r="281" ht="11.25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</row>
    <row r="282" ht="11.25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</row>
    <row r="283" ht="11.25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</row>
    <row r="284" ht="11.2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</row>
    <row r="285" ht="11.25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</row>
    <row r="286" ht="11.25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</row>
    <row r="287" ht="11.25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</row>
    <row r="288" ht="11.25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</row>
    <row r="289" ht="11.25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</row>
    <row r="290" ht="11.25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</row>
    <row r="291" ht="11.25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</row>
    <row r="292" ht="11.25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</row>
    <row r="293" ht="11.25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</row>
    <row r="294" ht="11.25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</row>
    <row r="295" ht="11.25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</row>
    <row r="296" ht="11.25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</row>
    <row r="297" ht="11.25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</row>
    <row r="298" ht="11.25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</row>
    <row r="299" ht="11.25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</row>
    <row r="300" ht="11.25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</row>
    <row r="301" ht="11.25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</row>
    <row r="302" ht="11.25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</row>
    <row r="303" ht="11.25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</row>
    <row r="304" ht="11.25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</row>
    <row r="305" ht="11.25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</row>
    <row r="306" ht="11.25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</row>
    <row r="307" ht="11.25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</row>
    <row r="308" ht="11.25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</row>
    <row r="309" ht="11.25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</row>
    <row r="310" ht="11.25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</row>
    <row r="311" ht="11.25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</row>
    <row r="312" ht="11.25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</row>
    <row r="313" ht="11.25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</row>
    <row r="314" ht="11.25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</row>
    <row r="315" ht="11.25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</row>
    <row r="316" ht="11.25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</row>
    <row r="317" ht="11.25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</row>
    <row r="318" ht="11.25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</row>
    <row r="319" ht="11.25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</row>
    <row r="320" ht="11.25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</row>
    <row r="321" ht="11.25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</row>
    <row r="322" ht="11.25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</row>
    <row r="323" ht="11.25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</row>
    <row r="324" ht="11.25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</row>
    <row r="325" ht="11.25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</row>
    <row r="326" ht="11.25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</row>
    <row r="327" ht="11.25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</row>
    <row r="328" ht="11.25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</row>
    <row r="329" ht="11.25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</row>
    <row r="330" ht="11.25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</row>
    <row r="331" ht="11.25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</row>
    <row r="332" ht="11.25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</row>
    <row r="333" ht="11.25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</row>
    <row r="334" ht="11.25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</row>
    <row r="335" ht="11.25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</row>
    <row r="336" ht="11.25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</row>
    <row r="337" ht="11.25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</row>
    <row r="338" ht="11.25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</row>
    <row r="339" ht="11.25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</row>
    <row r="340" ht="11.25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</row>
    <row r="341" ht="11.25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</row>
    <row r="342" ht="11.25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</row>
    <row r="343" ht="11.25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</row>
    <row r="344" ht="11.25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</row>
    <row r="345" ht="11.25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</row>
    <row r="346" ht="11.25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</row>
    <row r="347" ht="11.25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</row>
    <row r="348" ht="11.25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</row>
    <row r="349" ht="11.25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</row>
    <row r="350" ht="11.25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</row>
    <row r="351" ht="11.25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</row>
    <row r="352" ht="11.25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</row>
    <row r="353" ht="11.25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</row>
    <row r="354" ht="11.25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</row>
    <row r="355" ht="11.25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</row>
    <row r="356" ht="11.25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</row>
    <row r="357" ht="11.25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</row>
    <row r="358" ht="11.25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</row>
    <row r="359" ht="11.25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</row>
    <row r="360" ht="11.25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</row>
    <row r="361" ht="11.25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</row>
    <row r="362" ht="11.25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</row>
    <row r="363" ht="11.25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</row>
    <row r="364" ht="11.25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</row>
    <row r="365" ht="11.25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</row>
    <row r="366" ht="11.25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</row>
    <row r="367" ht="11.25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</row>
    <row r="368" ht="11.25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</row>
    <row r="369" ht="11.25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</row>
    <row r="370" ht="11.25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</row>
    <row r="371" ht="11.25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</row>
    <row r="372" ht="11.25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</row>
    <row r="373" ht="11.25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</row>
    <row r="374" ht="11.25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</row>
    <row r="375" ht="11.25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</row>
    <row r="376" ht="11.25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</row>
    <row r="377" ht="11.25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</row>
    <row r="378" ht="11.25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</row>
    <row r="379" ht="11.25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</row>
    <row r="380" ht="11.25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</row>
    <row r="381" ht="11.25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</row>
    <row r="382" ht="11.25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</row>
    <row r="383" ht="11.25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</row>
    <row r="384" ht="11.25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</row>
    <row r="385" ht="11.25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</row>
    <row r="386" ht="11.25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</row>
    <row r="387" ht="11.25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</row>
    <row r="388" ht="11.25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</row>
    <row r="389" ht="11.25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</row>
    <row r="390" ht="11.25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</row>
    <row r="391" ht="11.25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</row>
    <row r="392" ht="11.25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</row>
    <row r="393" ht="11.25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</row>
    <row r="394" ht="11.25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</row>
    <row r="395" ht="11.25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</row>
    <row r="396" ht="11.25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</row>
    <row r="397" ht="11.25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</row>
    <row r="398" ht="11.25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</row>
    <row r="399" ht="11.25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</row>
    <row r="400" ht="11.25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</row>
    <row r="401" ht="11.25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</row>
    <row r="402" ht="11.25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</row>
    <row r="403" ht="11.25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</row>
    <row r="404" ht="11.25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</row>
    <row r="405" ht="11.25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</row>
    <row r="406" ht="11.25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</row>
    <row r="407" ht="11.25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</row>
    <row r="408" ht="11.25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</row>
    <row r="409" ht="11.25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</row>
    <row r="410" ht="11.25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</row>
    <row r="411" ht="11.25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</row>
    <row r="412" ht="11.25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</row>
    <row r="413" ht="11.25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</row>
    <row r="414" ht="11.25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</row>
    <row r="415" ht="11.25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</row>
    <row r="416" ht="11.25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</row>
    <row r="417" ht="11.25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</row>
    <row r="418" ht="11.25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</row>
    <row r="419" ht="11.2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</row>
    <row r="420" ht="11.2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</row>
    <row r="421" ht="11.2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</row>
    <row r="422" ht="11.2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</row>
    <row r="423" ht="11.2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</row>
    <row r="424" ht="11.2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</row>
    <row r="425" ht="11.2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</row>
    <row r="426" ht="11.2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</row>
    <row r="427" ht="11.2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</row>
    <row r="428" ht="11.2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</row>
    <row r="429" ht="11.2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</row>
    <row r="430" ht="11.2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</row>
    <row r="431" ht="11.2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</row>
    <row r="432" ht="11.2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</row>
    <row r="433" ht="11.2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</row>
    <row r="434" ht="11.2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</row>
    <row r="435" ht="11.2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</row>
    <row r="436" ht="11.2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</row>
    <row r="437" ht="11.2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</row>
    <row r="438" ht="11.2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</row>
    <row r="439" ht="11.2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</row>
    <row r="440" ht="11.2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</row>
    <row r="441" ht="11.2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</row>
    <row r="442" ht="11.2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</row>
    <row r="443" ht="11.2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</row>
    <row r="444" ht="11.2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</row>
    <row r="445" ht="11.2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</row>
    <row r="446" ht="11.2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</row>
    <row r="447" ht="11.2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</row>
    <row r="448" ht="11.2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</row>
    <row r="449" ht="11.2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</row>
    <row r="450" ht="11.2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</row>
    <row r="451" ht="11.2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</row>
    <row r="452" ht="11.2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</row>
    <row r="453" ht="11.2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</row>
    <row r="454" ht="11.2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</row>
    <row r="455" ht="11.2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</row>
    <row r="456" ht="11.2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</row>
    <row r="457" ht="11.2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</row>
    <row r="458" ht="11.2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</row>
    <row r="459" ht="11.2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</row>
    <row r="460" ht="11.2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</row>
    <row r="461" ht="11.2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</row>
    <row r="462" ht="11.2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</row>
    <row r="463" ht="11.2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</row>
    <row r="464" ht="11.2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</row>
    <row r="465" ht="11.2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</row>
    <row r="466" ht="11.2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</row>
    <row r="467" ht="11.2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</row>
    <row r="468" ht="11.2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</row>
    <row r="469" ht="11.2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</row>
    <row r="470" ht="11.2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</row>
    <row r="471" ht="11.2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</row>
    <row r="472" ht="11.2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</row>
    <row r="473" ht="11.2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</row>
    <row r="474" ht="11.2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</row>
    <row r="475" ht="11.2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</row>
    <row r="476" ht="11.2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</row>
    <row r="477" ht="11.2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</row>
    <row r="478" ht="11.2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</row>
    <row r="479" ht="11.2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</row>
    <row r="480" ht="11.2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</row>
    <row r="481" ht="11.2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</row>
    <row r="482" ht="11.2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</row>
    <row r="483" ht="11.2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</row>
    <row r="484" ht="11.2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</row>
    <row r="485" ht="11.2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</row>
    <row r="486" ht="11.2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</row>
    <row r="487" ht="11.2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</row>
    <row r="488" ht="11.2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</row>
    <row r="489" ht="11.2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</row>
    <row r="490" ht="11.2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</row>
    <row r="491" ht="11.2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</row>
    <row r="492" ht="11.2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</row>
    <row r="493" ht="11.2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</row>
    <row r="494" ht="11.2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</row>
    <row r="495" ht="11.2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</row>
    <row r="496" ht="11.2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</row>
    <row r="497" ht="11.2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</row>
    <row r="498" ht="11.2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</row>
    <row r="499" ht="11.2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</row>
    <row r="500" ht="11.2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</row>
    <row r="501" ht="11.2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</row>
    <row r="502" ht="11.2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</row>
    <row r="503" ht="11.2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</row>
    <row r="504" ht="11.2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</row>
    <row r="505" ht="11.2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</row>
    <row r="506" ht="11.2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</row>
    <row r="507" ht="11.2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</row>
    <row r="508" ht="11.2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</row>
    <row r="509" ht="11.2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</row>
    <row r="510" ht="11.2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</row>
    <row r="511" ht="11.2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</row>
    <row r="512" ht="11.2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</row>
    <row r="513" ht="11.2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</row>
    <row r="514" ht="11.2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</row>
    <row r="515" ht="11.2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</row>
    <row r="516" ht="11.2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</row>
    <row r="517" ht="11.2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</row>
    <row r="518" ht="11.2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</row>
    <row r="519" ht="11.2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</row>
    <row r="520" ht="11.2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</row>
    <row r="521" ht="11.2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</row>
    <row r="522" ht="11.2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</row>
    <row r="523" ht="11.2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</row>
    <row r="524" ht="11.2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</row>
    <row r="525" ht="11.2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</row>
    <row r="526" ht="11.2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</row>
    <row r="527" ht="11.2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</row>
    <row r="528" ht="11.2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</row>
    <row r="529" ht="11.2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</row>
    <row r="530" ht="11.2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</row>
    <row r="531" ht="11.2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</row>
    <row r="532" ht="11.2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</row>
    <row r="533" ht="11.2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</row>
    <row r="534" ht="11.2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</row>
    <row r="535" ht="11.2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</row>
    <row r="536" ht="11.2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</row>
    <row r="537" ht="11.2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</row>
    <row r="538" ht="11.2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</row>
    <row r="539" ht="11.2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</row>
    <row r="540" ht="11.2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</row>
    <row r="541" ht="11.2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</row>
    <row r="542" ht="11.2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</row>
    <row r="543" ht="11.2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</row>
    <row r="544" ht="11.2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</row>
    <row r="545" ht="11.2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</row>
    <row r="546" ht="11.2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</row>
    <row r="547" ht="11.2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</row>
    <row r="548" ht="11.2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</row>
    <row r="549" ht="11.2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</row>
    <row r="550" ht="11.2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</row>
    <row r="551" ht="11.2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</row>
    <row r="552" ht="11.2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</row>
    <row r="553" ht="11.2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</row>
    <row r="554" ht="11.2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</row>
    <row r="555" ht="11.2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</row>
    <row r="556" ht="11.2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</row>
    <row r="557" ht="11.2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</row>
    <row r="558" ht="11.2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</row>
    <row r="559" ht="11.2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</row>
    <row r="560" ht="11.2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</row>
    <row r="561" ht="11.2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</row>
    <row r="562" ht="11.2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</row>
    <row r="563" ht="11.2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</row>
    <row r="564" ht="11.2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</row>
    <row r="565" ht="11.2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</row>
    <row r="566" ht="11.2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</row>
    <row r="567" ht="11.2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</row>
    <row r="568" ht="11.2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</row>
    <row r="569" ht="11.2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</row>
    <row r="570" ht="11.2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</row>
    <row r="571" ht="11.2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</row>
    <row r="572" ht="11.2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</row>
    <row r="573" ht="11.2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</row>
    <row r="574" ht="11.2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</row>
    <row r="575" ht="11.2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</row>
    <row r="576" ht="11.2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</row>
    <row r="577" ht="11.2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</row>
    <row r="578" ht="11.2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</row>
    <row r="579" ht="11.2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</row>
    <row r="580" ht="11.2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</row>
    <row r="581" ht="11.2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</row>
    <row r="582" ht="11.2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</row>
    <row r="583" ht="11.2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</row>
    <row r="584" ht="11.2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</row>
    <row r="585" ht="11.2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</row>
    <row r="586" ht="11.2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</row>
    <row r="587" ht="11.2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</row>
    <row r="588" ht="11.2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</row>
    <row r="589" ht="11.2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</row>
    <row r="590" ht="11.2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</row>
    <row r="591" ht="11.2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</row>
    <row r="592" ht="11.2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</row>
    <row r="593" ht="11.2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</row>
    <row r="594" ht="11.2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</row>
    <row r="595" ht="11.2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</row>
    <row r="596" ht="11.2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</row>
    <row r="597" ht="11.2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</row>
    <row r="598" ht="11.2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</row>
    <row r="599" ht="11.2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</row>
    <row r="600" ht="11.2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</row>
    <row r="601" ht="11.2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</row>
    <row r="602" ht="11.2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</row>
    <row r="603" ht="11.2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</row>
    <row r="604" ht="11.2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</row>
    <row r="605" ht="11.2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</row>
    <row r="606" ht="11.2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</row>
    <row r="607" ht="11.2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</row>
    <row r="608" ht="11.2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</row>
    <row r="609" ht="11.2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</row>
    <row r="610" ht="11.2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</row>
    <row r="611" ht="11.2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</row>
    <row r="612" ht="11.2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</row>
    <row r="613" ht="11.2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</row>
    <row r="614" ht="11.2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</row>
    <row r="615" ht="11.2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</row>
    <row r="616" ht="11.2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</row>
    <row r="617" ht="11.2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</row>
    <row r="618" ht="11.2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</row>
    <row r="619" ht="11.2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</row>
    <row r="620" ht="11.2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</row>
    <row r="621" ht="11.2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</row>
    <row r="622" ht="11.2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</row>
    <row r="623" ht="11.2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</row>
    <row r="624" ht="11.2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</row>
    <row r="625" ht="11.2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</row>
    <row r="626" ht="11.2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</row>
    <row r="627" ht="11.2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</row>
    <row r="628" ht="11.2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</row>
    <row r="629" ht="11.2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</row>
    <row r="630" ht="11.2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</row>
    <row r="631" ht="11.2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</row>
    <row r="632" ht="11.2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</row>
    <row r="633" ht="11.2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</row>
    <row r="634" ht="11.2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</row>
    <row r="635" ht="11.2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</row>
    <row r="636" ht="11.2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</row>
    <row r="637" ht="11.2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</row>
    <row r="638" ht="11.2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</row>
    <row r="639" ht="11.2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</row>
    <row r="640" ht="11.2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</row>
    <row r="641" ht="11.2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</row>
    <row r="642" ht="11.2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</row>
    <row r="643" ht="11.2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</row>
    <row r="644" ht="11.2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</row>
    <row r="645" ht="11.2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</row>
    <row r="646" ht="11.2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</row>
    <row r="647" ht="11.2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</row>
    <row r="648" ht="11.2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</row>
    <row r="649" ht="11.2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</row>
    <row r="650" ht="11.2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</row>
    <row r="651" ht="11.2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</row>
    <row r="652" ht="11.2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</row>
    <row r="653" ht="11.2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</row>
    <row r="654" ht="11.2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</row>
    <row r="655" ht="11.2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</row>
    <row r="656" ht="11.2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</row>
    <row r="657" ht="11.2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</row>
    <row r="658" ht="11.2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</row>
    <row r="659" ht="11.2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</row>
    <row r="660" ht="11.2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</row>
    <row r="661" ht="11.2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</row>
    <row r="662" ht="11.2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</row>
    <row r="663" ht="11.2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</row>
    <row r="664" ht="11.2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</row>
    <row r="665" ht="11.2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</row>
    <row r="666" ht="11.2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</row>
    <row r="667" ht="11.2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</row>
    <row r="668" ht="11.2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</row>
    <row r="669" ht="11.2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</row>
    <row r="670" ht="11.2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</row>
    <row r="671" ht="11.2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</row>
    <row r="672" ht="11.2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</row>
    <row r="673" ht="11.2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</row>
    <row r="674" ht="11.2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</row>
    <row r="675" ht="11.2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</row>
    <row r="676" ht="11.2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</row>
    <row r="677" ht="11.2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</row>
    <row r="678" ht="11.2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</row>
    <row r="679" ht="11.2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</row>
    <row r="680" ht="11.2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</row>
    <row r="681" ht="11.2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</row>
    <row r="682" ht="11.2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</row>
    <row r="683" ht="11.2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</row>
    <row r="684" ht="11.2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</row>
    <row r="685" ht="11.2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</row>
    <row r="686" ht="11.2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</row>
    <row r="687" ht="11.2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</row>
    <row r="688" ht="11.2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</row>
    <row r="689" ht="11.2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</row>
    <row r="690" ht="11.2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</row>
    <row r="691" ht="11.2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</row>
    <row r="692" ht="11.2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</row>
    <row r="693" ht="11.2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</row>
    <row r="694" ht="11.2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</row>
    <row r="695" ht="11.2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</row>
    <row r="696" ht="11.2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</row>
    <row r="697" ht="11.2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</row>
    <row r="698" ht="11.2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</row>
    <row r="699" ht="11.2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</row>
    <row r="700" ht="11.2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</row>
    <row r="701" ht="11.2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</row>
    <row r="702" ht="11.2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</row>
    <row r="703" ht="11.2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</row>
    <row r="704" ht="11.2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</row>
    <row r="705" ht="11.2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</row>
    <row r="706" ht="11.2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</row>
    <row r="707" ht="11.2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</row>
    <row r="708" ht="11.2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</row>
    <row r="709" ht="11.2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</row>
    <row r="710" ht="11.2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</row>
    <row r="711" ht="11.2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</row>
    <row r="712" ht="11.2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</row>
    <row r="713" ht="11.2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</row>
    <row r="714" ht="11.2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</row>
    <row r="715" ht="11.2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</row>
    <row r="716" ht="11.2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</row>
    <row r="717" ht="11.2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</row>
    <row r="718" ht="11.2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</row>
    <row r="719" ht="11.2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</row>
    <row r="720" ht="11.2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</row>
    <row r="721" ht="11.2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</row>
    <row r="722" ht="11.2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</row>
    <row r="723" ht="11.2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</row>
    <row r="724" ht="11.2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</row>
    <row r="725" ht="11.2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</row>
    <row r="726" ht="11.2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</row>
    <row r="727" ht="11.2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</row>
    <row r="728" ht="11.2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</row>
    <row r="729" ht="11.2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</row>
    <row r="730" ht="11.2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</row>
    <row r="731" ht="11.2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</row>
    <row r="732" ht="11.2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</row>
    <row r="733" ht="11.2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</row>
    <row r="734" ht="11.2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</row>
    <row r="735" ht="11.2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</row>
    <row r="736" ht="11.2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</row>
    <row r="737" ht="11.2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</row>
    <row r="738" ht="11.2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</row>
    <row r="739" ht="11.2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</row>
    <row r="740" ht="11.2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</row>
    <row r="741" ht="11.2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</row>
    <row r="742" ht="11.2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</row>
    <row r="743" ht="11.2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</row>
    <row r="744" ht="11.2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</row>
    <row r="745" ht="11.2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</row>
    <row r="746" ht="11.2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</row>
    <row r="747" ht="11.2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</row>
    <row r="748" ht="11.2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</row>
    <row r="749" ht="11.2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</row>
    <row r="750" ht="11.2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</row>
    <row r="751" ht="11.2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</row>
    <row r="752" ht="11.2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</row>
    <row r="753" ht="11.2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</row>
    <row r="754" ht="11.2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</row>
    <row r="755" ht="11.2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</row>
    <row r="756" ht="11.2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</row>
    <row r="757" ht="11.2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</row>
    <row r="758" ht="11.2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</row>
    <row r="759" ht="11.2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</row>
    <row r="760" ht="11.2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</row>
    <row r="761" ht="11.2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</row>
    <row r="762" ht="11.2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</row>
    <row r="763" ht="11.2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</row>
    <row r="764" ht="11.2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</row>
    <row r="765" ht="11.2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</row>
    <row r="766" ht="11.2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</row>
    <row r="767" ht="11.2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</row>
    <row r="768" ht="11.2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</row>
    <row r="769" ht="11.2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</row>
    <row r="770" ht="11.2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</row>
    <row r="771" ht="11.2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</row>
    <row r="772" ht="11.2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</row>
    <row r="773" ht="11.2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</row>
    <row r="774" ht="11.2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</row>
    <row r="775" ht="11.2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</row>
    <row r="776" ht="11.2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</row>
    <row r="777" ht="11.2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</row>
    <row r="778" ht="11.2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</row>
    <row r="779" ht="11.2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</row>
    <row r="780" ht="11.2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</row>
    <row r="781" ht="11.2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</row>
    <row r="782" ht="11.2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</row>
    <row r="783" ht="11.2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</row>
    <row r="784" ht="11.2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</row>
    <row r="785" ht="11.2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</row>
    <row r="786" ht="11.2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</row>
    <row r="787" ht="11.2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</row>
    <row r="788" ht="11.2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</row>
    <row r="789" ht="11.2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</row>
    <row r="790" ht="11.2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</row>
    <row r="791" ht="11.2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</row>
    <row r="792" ht="11.2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</row>
    <row r="793" ht="11.2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</row>
    <row r="794" ht="11.2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</row>
    <row r="795" ht="11.2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</row>
    <row r="796" ht="11.2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</row>
    <row r="797" ht="11.2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</row>
    <row r="798" ht="11.2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</row>
    <row r="799" ht="11.2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</row>
    <row r="800" ht="11.2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</row>
    <row r="801" ht="11.2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</row>
    <row r="802" ht="11.2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</row>
    <row r="803" ht="11.2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</row>
    <row r="804" ht="11.2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</row>
    <row r="805" ht="11.2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</row>
    <row r="806" ht="11.2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</row>
    <row r="807" ht="11.2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</row>
    <row r="808" ht="11.2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</row>
    <row r="809" ht="11.2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</row>
    <row r="810" ht="11.2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</row>
    <row r="811" ht="11.2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</row>
    <row r="812" ht="11.2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</row>
    <row r="813" ht="11.2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</row>
    <row r="814" ht="11.2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</row>
    <row r="815" ht="11.2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</row>
    <row r="816" ht="11.2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</row>
    <row r="817" ht="11.2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</row>
    <row r="818" ht="11.2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</row>
    <row r="819" ht="11.2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</row>
    <row r="820" ht="11.2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</row>
    <row r="821" ht="11.2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</row>
    <row r="822" ht="11.2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</row>
    <row r="823" ht="11.2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</row>
    <row r="824" ht="11.2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</row>
    <row r="825" ht="11.2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</row>
    <row r="826" ht="11.2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</row>
    <row r="827" ht="11.2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</row>
    <row r="828" ht="11.2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</row>
    <row r="829" ht="11.2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</row>
    <row r="830" ht="11.2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</row>
    <row r="831" ht="11.2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</row>
    <row r="832" ht="11.2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</row>
    <row r="833" ht="11.2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</row>
    <row r="834" ht="11.2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</row>
    <row r="835" ht="11.2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</row>
    <row r="836" ht="11.2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</row>
    <row r="837" ht="11.2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</row>
    <row r="838" ht="11.2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</row>
    <row r="839" ht="11.2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</row>
    <row r="840" ht="11.2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</row>
    <row r="841" ht="11.2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</row>
    <row r="842" ht="11.2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</row>
    <row r="843" ht="11.2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</row>
    <row r="844" ht="11.2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</row>
    <row r="845" ht="11.2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</row>
    <row r="846" ht="11.2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</row>
    <row r="847" ht="11.2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</row>
    <row r="848" ht="11.2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</row>
    <row r="849" ht="11.2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</row>
    <row r="850" ht="11.2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</row>
    <row r="851" ht="11.2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</row>
    <row r="852" ht="11.2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</row>
    <row r="853" ht="11.2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</row>
    <row r="854" ht="11.2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</row>
    <row r="855" ht="11.2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</row>
    <row r="856" ht="11.2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</row>
    <row r="857" ht="11.2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</row>
    <row r="858" ht="11.2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</row>
    <row r="859" ht="11.2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</row>
    <row r="860" ht="11.2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</row>
    <row r="861" ht="11.2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</row>
    <row r="862" ht="11.2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</row>
    <row r="863" ht="11.2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</row>
    <row r="864" ht="11.2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</row>
    <row r="865" ht="11.2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</row>
    <row r="866" ht="11.2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</row>
    <row r="867" ht="11.2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</row>
    <row r="868" ht="11.2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</row>
    <row r="869" ht="11.2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</row>
    <row r="870" ht="11.2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</row>
    <row r="871" ht="11.2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</row>
    <row r="872" ht="11.2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</row>
    <row r="873" ht="11.2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</row>
    <row r="874" ht="11.2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</row>
    <row r="875" ht="11.2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</row>
    <row r="876" ht="11.2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</row>
    <row r="877" ht="11.2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</row>
    <row r="878" ht="11.2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</row>
    <row r="879" ht="11.2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</row>
    <row r="880" ht="11.2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</row>
    <row r="881" ht="11.2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</row>
    <row r="882" ht="11.2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</row>
    <row r="883" ht="11.2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</row>
    <row r="884" ht="11.2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</row>
    <row r="885" ht="11.2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</row>
    <row r="886" ht="11.2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</row>
    <row r="887" ht="11.2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</row>
    <row r="888" ht="11.2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</row>
    <row r="889" ht="11.2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</row>
    <row r="890" ht="11.2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</row>
    <row r="891" ht="11.2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</row>
    <row r="892" ht="11.2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</row>
    <row r="893" ht="11.2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</row>
    <row r="894" ht="11.2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</row>
    <row r="895" ht="11.2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</row>
    <row r="896" ht="11.2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</row>
    <row r="897" ht="11.2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</row>
    <row r="898" ht="11.2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</row>
    <row r="899" ht="11.2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</row>
    <row r="900" ht="11.2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</row>
    <row r="901" ht="11.2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</row>
    <row r="902" ht="11.25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</row>
    <row r="903" ht="11.25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</row>
    <row r="904" ht="11.25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</row>
    <row r="905" ht="11.25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</row>
    <row r="906" ht="11.25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</row>
    <row r="907" ht="11.25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</row>
    <row r="908" ht="11.25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</row>
    <row r="909" ht="11.25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</row>
    <row r="910" ht="11.25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</row>
    <row r="911" ht="11.25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</row>
    <row r="912" ht="11.25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</row>
    <row r="913" ht="11.25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</row>
    <row r="914" ht="11.25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</row>
    <row r="915" ht="11.25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</row>
    <row r="916" ht="11.25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</row>
    <row r="917" ht="11.25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</row>
    <row r="918" ht="11.25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  <c r="AJ918" s="128"/>
    </row>
    <row r="919" ht="11.25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  <c r="AJ919" s="128"/>
    </row>
    <row r="920" ht="11.25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  <c r="AJ920" s="128"/>
    </row>
    <row r="921" ht="11.25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  <c r="AJ921" s="128"/>
    </row>
    <row r="922" ht="11.25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  <c r="AJ922" s="128"/>
    </row>
    <row r="923" ht="11.25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  <c r="AJ923" s="128"/>
    </row>
    <row r="924" ht="11.25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  <c r="AJ924" s="128"/>
    </row>
    <row r="925" ht="11.25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</row>
    <row r="926" ht="11.25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  <c r="AJ926" s="128"/>
    </row>
    <row r="927" ht="11.25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  <c r="AJ927" s="128"/>
    </row>
    <row r="928" ht="11.25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  <c r="AJ928" s="128"/>
    </row>
    <row r="929" ht="11.25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</row>
    <row r="930" ht="11.25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</row>
    <row r="931" ht="11.25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</row>
    <row r="932" ht="11.25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</row>
    <row r="933" ht="11.25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</row>
    <row r="934" ht="11.25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</row>
    <row r="935" ht="11.25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</row>
    <row r="936" ht="11.25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</row>
    <row r="937" ht="11.25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</row>
    <row r="938" ht="11.25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</row>
    <row r="939" ht="11.25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</row>
    <row r="940" ht="11.25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</row>
    <row r="941" ht="11.25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</row>
    <row r="942" ht="11.25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</row>
    <row r="943" ht="11.25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</row>
    <row r="944" ht="11.25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</row>
    <row r="945" ht="11.25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</row>
    <row r="946" ht="11.25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</row>
    <row r="947" ht="11.25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</row>
    <row r="948" ht="11.25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</row>
    <row r="949" ht="11.25" customHeight="1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</row>
    <row r="950" ht="11.25" customHeight="1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</row>
    <row r="951" ht="11.25" customHeight="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</row>
    <row r="952" ht="11.25" customHeight="1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</row>
    <row r="953" ht="11.25" customHeight="1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</row>
    <row r="954" ht="11.25" customHeight="1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</row>
    <row r="955" ht="11.25" customHeight="1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</row>
    <row r="956" ht="11.25" customHeight="1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</row>
    <row r="957" ht="11.25" customHeight="1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</row>
    <row r="958" ht="11.25" customHeight="1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</row>
    <row r="959" ht="11.25" customHeight="1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</row>
    <row r="960" ht="11.25" customHeight="1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</row>
    <row r="961" ht="11.25" customHeight="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  <c r="AJ961" s="128"/>
    </row>
    <row r="962" ht="11.25" customHeight="1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</row>
    <row r="963" ht="11.25" customHeight="1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</row>
    <row r="964" ht="11.25" customHeight="1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</row>
    <row r="965" ht="11.25" customHeight="1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  <c r="AJ965" s="128"/>
    </row>
    <row r="966" ht="11.25" customHeight="1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</row>
    <row r="967" ht="11.25" customHeight="1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</row>
    <row r="968" ht="11.25" customHeight="1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</row>
    <row r="969" ht="11.25" customHeight="1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</row>
    <row r="970" ht="11.25" customHeight="1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</row>
    <row r="971" ht="11.25" customHeight="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</row>
    <row r="972" ht="11.25" customHeight="1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</row>
    <row r="973" ht="11.25" customHeight="1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</row>
    <row r="974" ht="11.25" customHeight="1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  <c r="AJ974" s="128"/>
    </row>
    <row r="975" ht="11.25" customHeight="1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</row>
    <row r="976" ht="11.25" customHeight="1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</row>
    <row r="977" ht="11.25" customHeight="1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</row>
    <row r="978" ht="11.25" customHeight="1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</row>
    <row r="979" ht="11.25" customHeight="1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</row>
    <row r="980" ht="11.25" customHeight="1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I980" s="128"/>
      <c r="AJ980" s="128"/>
    </row>
    <row r="981" ht="11.25" customHeight="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I981" s="128"/>
      <c r="AJ981" s="128"/>
    </row>
    <row r="982" ht="11.25" customHeight="1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I982" s="128"/>
      <c r="AJ982" s="128"/>
    </row>
    <row r="983" ht="11.25" customHeight="1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I983" s="128"/>
      <c r="AJ983" s="128"/>
    </row>
    <row r="984" ht="11.25" customHeight="1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I984" s="128"/>
      <c r="AJ984" s="128"/>
    </row>
    <row r="985" ht="11.25" customHeight="1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I985" s="128"/>
      <c r="AJ985" s="128"/>
    </row>
    <row r="986" ht="11.25" customHeight="1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  <c r="AG986" s="128"/>
      <c r="AH986" s="128"/>
      <c r="AI986" s="128"/>
      <c r="AJ986" s="128"/>
    </row>
    <row r="987" ht="11.25" customHeight="1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  <c r="AB987" s="128"/>
      <c r="AC987" s="128"/>
      <c r="AD987" s="128"/>
      <c r="AE987" s="128"/>
      <c r="AF987" s="128"/>
      <c r="AG987" s="128"/>
      <c r="AH987" s="128"/>
      <c r="AI987" s="128"/>
      <c r="AJ987" s="128"/>
    </row>
    <row r="988" ht="11.25" customHeight="1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  <c r="AB988" s="128"/>
      <c r="AC988" s="128"/>
      <c r="AD988" s="128"/>
      <c r="AE988" s="128"/>
      <c r="AF988" s="128"/>
      <c r="AG988" s="128"/>
      <c r="AH988" s="128"/>
      <c r="AI988" s="128"/>
      <c r="AJ988" s="128"/>
    </row>
    <row r="989" ht="11.25" customHeight="1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  <c r="AB989" s="128"/>
      <c r="AC989" s="128"/>
      <c r="AD989" s="128"/>
      <c r="AE989" s="128"/>
      <c r="AF989" s="128"/>
      <c r="AG989" s="128"/>
      <c r="AH989" s="128"/>
      <c r="AI989" s="128"/>
      <c r="AJ989" s="128"/>
    </row>
    <row r="990" ht="11.25" customHeight="1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  <c r="AB990" s="128"/>
      <c r="AC990" s="128"/>
      <c r="AD990" s="128"/>
      <c r="AE990" s="128"/>
      <c r="AF990" s="128"/>
      <c r="AG990" s="128"/>
      <c r="AH990" s="128"/>
      <c r="AI990" s="128"/>
      <c r="AJ990" s="128"/>
    </row>
    <row r="991" ht="11.25" customHeight="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  <c r="AB991" s="128"/>
      <c r="AC991" s="128"/>
      <c r="AD991" s="128"/>
      <c r="AE991" s="128"/>
      <c r="AF991" s="128"/>
      <c r="AG991" s="128"/>
      <c r="AH991" s="128"/>
      <c r="AI991" s="128"/>
      <c r="AJ991" s="128"/>
    </row>
    <row r="992" ht="11.25" customHeight="1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  <c r="AB992" s="128"/>
      <c r="AC992" s="128"/>
      <c r="AD992" s="128"/>
      <c r="AE992" s="128"/>
      <c r="AF992" s="128"/>
      <c r="AG992" s="128"/>
      <c r="AH992" s="128"/>
      <c r="AI992" s="128"/>
      <c r="AJ992" s="128"/>
    </row>
    <row r="993" ht="11.25" customHeight="1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28"/>
      <c r="AB993" s="128"/>
      <c r="AC993" s="128"/>
      <c r="AD993" s="128"/>
      <c r="AE993" s="128"/>
      <c r="AF993" s="128"/>
      <c r="AG993" s="128"/>
      <c r="AH993" s="128"/>
      <c r="AI993" s="128"/>
      <c r="AJ993" s="128"/>
    </row>
    <row r="994" ht="11.25" customHeight="1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28"/>
      <c r="AB994" s="128"/>
      <c r="AC994" s="128"/>
      <c r="AD994" s="128"/>
      <c r="AE994" s="128"/>
      <c r="AF994" s="128"/>
      <c r="AG994" s="128"/>
      <c r="AH994" s="128"/>
      <c r="AI994" s="128"/>
      <c r="AJ994" s="128"/>
    </row>
    <row r="995" ht="11.25" customHeight="1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28"/>
      <c r="AB995" s="128"/>
      <c r="AC995" s="128"/>
      <c r="AD995" s="128"/>
      <c r="AE995" s="128"/>
      <c r="AF995" s="128"/>
      <c r="AG995" s="128"/>
      <c r="AH995" s="128"/>
      <c r="AI995" s="128"/>
      <c r="AJ995" s="128"/>
    </row>
    <row r="996" ht="11.25" customHeight="1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28"/>
      <c r="AB996" s="128"/>
      <c r="AC996" s="128"/>
      <c r="AD996" s="128"/>
      <c r="AE996" s="128"/>
      <c r="AF996" s="128"/>
      <c r="AG996" s="128"/>
      <c r="AH996" s="128"/>
      <c r="AI996" s="128"/>
      <c r="AJ996" s="128"/>
    </row>
    <row r="997" ht="11.25" customHeight="1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  <c r="AA997" s="128"/>
      <c r="AB997" s="128"/>
      <c r="AC997" s="128"/>
      <c r="AD997" s="128"/>
      <c r="AE997" s="128"/>
      <c r="AF997" s="128"/>
      <c r="AG997" s="128"/>
      <c r="AH997" s="128"/>
      <c r="AI997" s="128"/>
      <c r="AJ997" s="128"/>
    </row>
    <row r="998" ht="11.25" customHeight="1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  <c r="AA998" s="128"/>
      <c r="AB998" s="128"/>
      <c r="AC998" s="128"/>
      <c r="AD998" s="128"/>
      <c r="AE998" s="128"/>
      <c r="AF998" s="128"/>
      <c r="AG998" s="128"/>
      <c r="AH998" s="128"/>
      <c r="AI998" s="128"/>
      <c r="AJ998" s="128"/>
    </row>
    <row r="999" ht="11.25" customHeight="1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  <c r="AA999" s="128"/>
      <c r="AB999" s="128"/>
      <c r="AC999" s="128"/>
      <c r="AD999" s="128"/>
      <c r="AE999" s="128"/>
      <c r="AF999" s="128"/>
      <c r="AG999" s="128"/>
      <c r="AH999" s="128"/>
      <c r="AI999" s="128"/>
      <c r="AJ999" s="128"/>
    </row>
    <row r="1000" ht="11.25" customHeight="1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  <c r="AA1000" s="128"/>
      <c r="AB1000" s="128"/>
      <c r="AC1000" s="128"/>
      <c r="AD1000" s="128"/>
      <c r="AE1000" s="128"/>
      <c r="AF1000" s="128"/>
      <c r="AG1000" s="128"/>
      <c r="AH1000" s="128"/>
      <c r="AI1000" s="128"/>
      <c r="AJ1000" s="128"/>
    </row>
  </sheetData>
  <mergeCells count="239">
    <mergeCell ref="K42:R42"/>
    <mergeCell ref="K43:R43"/>
    <mergeCell ref="M35:N35"/>
    <mergeCell ref="O35:P35"/>
    <mergeCell ref="Q35:R35"/>
    <mergeCell ref="H39:R39"/>
    <mergeCell ref="H40:J40"/>
    <mergeCell ref="K40:R40"/>
    <mergeCell ref="K41:R41"/>
    <mergeCell ref="C45:F45"/>
    <mergeCell ref="C46:F46"/>
    <mergeCell ref="C47:F47"/>
    <mergeCell ref="C48:F48"/>
    <mergeCell ref="A35:B35"/>
    <mergeCell ref="A39:B43"/>
    <mergeCell ref="C39:F39"/>
    <mergeCell ref="C40:F40"/>
    <mergeCell ref="C41:F41"/>
    <mergeCell ref="C42:F42"/>
    <mergeCell ref="A44:B48"/>
    <mergeCell ref="A52:B54"/>
    <mergeCell ref="A55:B57"/>
    <mergeCell ref="A58:B60"/>
    <mergeCell ref="A61:B61"/>
    <mergeCell ref="A62:B62"/>
    <mergeCell ref="A63:B63"/>
    <mergeCell ref="A64:B64"/>
    <mergeCell ref="A49:B51"/>
    <mergeCell ref="C49:F49"/>
    <mergeCell ref="C50:F50"/>
    <mergeCell ref="C51:F51"/>
    <mergeCell ref="C52:F52"/>
    <mergeCell ref="C53:F53"/>
    <mergeCell ref="C54:F54"/>
    <mergeCell ref="C62:F62"/>
    <mergeCell ref="C63:F63"/>
    <mergeCell ref="C64:F64"/>
    <mergeCell ref="C55:F55"/>
    <mergeCell ref="C56:F56"/>
    <mergeCell ref="C57:F57"/>
    <mergeCell ref="C58:F58"/>
    <mergeCell ref="C59:F59"/>
    <mergeCell ref="C60:F60"/>
    <mergeCell ref="C61:F61"/>
    <mergeCell ref="H41:J41"/>
    <mergeCell ref="H42:J42"/>
    <mergeCell ref="H43:J43"/>
    <mergeCell ref="H44:J44"/>
    <mergeCell ref="H45:J45"/>
    <mergeCell ref="H46:J46"/>
    <mergeCell ref="H47:J47"/>
    <mergeCell ref="H59:J59"/>
    <mergeCell ref="H60:J60"/>
    <mergeCell ref="H61:J61"/>
    <mergeCell ref="H62:J62"/>
    <mergeCell ref="H63:J63"/>
    <mergeCell ref="H64:J64"/>
    <mergeCell ref="H50:J50"/>
    <mergeCell ref="H53:J53"/>
    <mergeCell ref="H54:J54"/>
    <mergeCell ref="H55:J55"/>
    <mergeCell ref="H56:J56"/>
    <mergeCell ref="H57:J57"/>
    <mergeCell ref="H58:J58"/>
    <mergeCell ref="K62:R62"/>
    <mergeCell ref="K63:R63"/>
    <mergeCell ref="K64:R64"/>
    <mergeCell ref="K55:R55"/>
    <mergeCell ref="K56:R56"/>
    <mergeCell ref="K57:R57"/>
    <mergeCell ref="K58:R58"/>
    <mergeCell ref="K59:R59"/>
    <mergeCell ref="K60:R60"/>
    <mergeCell ref="K61:R61"/>
    <mergeCell ref="H27:R27"/>
    <mergeCell ref="H28:R28"/>
    <mergeCell ref="M23:N23"/>
    <mergeCell ref="O23:P23"/>
    <mergeCell ref="Q23:R23"/>
    <mergeCell ref="A25:R25"/>
    <mergeCell ref="D26:E26"/>
    <mergeCell ref="F26:G26"/>
    <mergeCell ref="H26:R26"/>
    <mergeCell ref="A29:C29"/>
    <mergeCell ref="D29:E29"/>
    <mergeCell ref="F29:G29"/>
    <mergeCell ref="H29:R29"/>
    <mergeCell ref="A26:C26"/>
    <mergeCell ref="A27:C27"/>
    <mergeCell ref="D27:E27"/>
    <mergeCell ref="F27:G27"/>
    <mergeCell ref="A28:C28"/>
    <mergeCell ref="D28:E28"/>
    <mergeCell ref="F28:G28"/>
    <mergeCell ref="G33:H33"/>
    <mergeCell ref="I33:R33"/>
    <mergeCell ref="C43:F43"/>
    <mergeCell ref="C44:F44"/>
    <mergeCell ref="K44:R44"/>
    <mergeCell ref="K45:R45"/>
    <mergeCell ref="K46:R46"/>
    <mergeCell ref="K47:R47"/>
    <mergeCell ref="K48:R48"/>
    <mergeCell ref="H48:J48"/>
    <mergeCell ref="H49:J49"/>
    <mergeCell ref="K49:R49"/>
    <mergeCell ref="K50:R50"/>
    <mergeCell ref="H52:R52"/>
    <mergeCell ref="K53:R53"/>
    <mergeCell ref="K54:R54"/>
    <mergeCell ref="O11:P11"/>
    <mergeCell ref="Q11:R11"/>
    <mergeCell ref="F9:I9"/>
    <mergeCell ref="F10:H10"/>
    <mergeCell ref="K10:L10"/>
    <mergeCell ref="M10:N10"/>
    <mergeCell ref="O10:P10"/>
    <mergeCell ref="Q10:R10"/>
    <mergeCell ref="F11:H11"/>
    <mergeCell ref="M13:N13"/>
    <mergeCell ref="O13:P13"/>
    <mergeCell ref="F12:H12"/>
    <mergeCell ref="K12:L12"/>
    <mergeCell ref="M12:N12"/>
    <mergeCell ref="O12:P12"/>
    <mergeCell ref="Q12:R12"/>
    <mergeCell ref="K13:L13"/>
    <mergeCell ref="Q13:R13"/>
    <mergeCell ref="F15:H15"/>
    <mergeCell ref="F16:H16"/>
    <mergeCell ref="K16:L16"/>
    <mergeCell ref="M16:R16"/>
    <mergeCell ref="F13:H13"/>
    <mergeCell ref="F14:H14"/>
    <mergeCell ref="K14:L14"/>
    <mergeCell ref="M14:N14"/>
    <mergeCell ref="O14:P14"/>
    <mergeCell ref="Q14:R14"/>
    <mergeCell ref="K15:R15"/>
    <mergeCell ref="K19:L19"/>
    <mergeCell ref="M19:R19"/>
    <mergeCell ref="C15:C19"/>
    <mergeCell ref="D15:D19"/>
    <mergeCell ref="F17:H17"/>
    <mergeCell ref="K17:L17"/>
    <mergeCell ref="M17:R17"/>
    <mergeCell ref="K18:L18"/>
    <mergeCell ref="M18:R18"/>
    <mergeCell ref="K22:L22"/>
    <mergeCell ref="M22:N22"/>
    <mergeCell ref="O22:P22"/>
    <mergeCell ref="Q22:R22"/>
    <mergeCell ref="F18:H18"/>
    <mergeCell ref="F19:H19"/>
    <mergeCell ref="F20:H20"/>
    <mergeCell ref="K20:L20"/>
    <mergeCell ref="M20:R20"/>
    <mergeCell ref="F21:H21"/>
    <mergeCell ref="F22:H22"/>
    <mergeCell ref="A1:I2"/>
    <mergeCell ref="K1:L1"/>
    <mergeCell ref="M1:R1"/>
    <mergeCell ref="K2:L2"/>
    <mergeCell ref="M2:R2"/>
    <mergeCell ref="K3:L3"/>
    <mergeCell ref="M3:R3"/>
    <mergeCell ref="A4:B4"/>
    <mergeCell ref="F4:H4"/>
    <mergeCell ref="K4:L4"/>
    <mergeCell ref="M4:R4"/>
    <mergeCell ref="F5:H5"/>
    <mergeCell ref="K5:L5"/>
    <mergeCell ref="M5:R5"/>
    <mergeCell ref="M6:R6"/>
    <mergeCell ref="K6:L6"/>
    <mergeCell ref="K7:L7"/>
    <mergeCell ref="M7:R7"/>
    <mergeCell ref="K8:L8"/>
    <mergeCell ref="M8:R8"/>
    <mergeCell ref="A5:B5"/>
    <mergeCell ref="C6:C8"/>
    <mergeCell ref="D6:D8"/>
    <mergeCell ref="E6:E8"/>
    <mergeCell ref="F6:H6"/>
    <mergeCell ref="F7:H7"/>
    <mergeCell ref="F8:H8"/>
    <mergeCell ref="K11:L11"/>
    <mergeCell ref="M11:N11"/>
    <mergeCell ref="A6:B8"/>
    <mergeCell ref="A9:B9"/>
    <mergeCell ref="A10:B14"/>
    <mergeCell ref="C10:C14"/>
    <mergeCell ref="D10:D14"/>
    <mergeCell ref="E10:E14"/>
    <mergeCell ref="E15:E19"/>
    <mergeCell ref="A15:B19"/>
    <mergeCell ref="A20:B23"/>
    <mergeCell ref="C20:C23"/>
    <mergeCell ref="D20:D23"/>
    <mergeCell ref="E20:E23"/>
    <mergeCell ref="F23:H23"/>
    <mergeCell ref="K23:L23"/>
    <mergeCell ref="A30:C30"/>
    <mergeCell ref="D30:E30"/>
    <mergeCell ref="F30:G30"/>
    <mergeCell ref="H30:R30"/>
    <mergeCell ref="A32:R32"/>
    <mergeCell ref="C33:E33"/>
    <mergeCell ref="A34:R34"/>
    <mergeCell ref="A33:B33"/>
    <mergeCell ref="C35:D35"/>
    <mergeCell ref="E35:F35"/>
    <mergeCell ref="G35:H35"/>
    <mergeCell ref="I35:J35"/>
    <mergeCell ref="K35:L35"/>
    <mergeCell ref="A38:F38"/>
    <mergeCell ref="Z39:AJ39"/>
    <mergeCell ref="Z40:AB40"/>
    <mergeCell ref="AC40:AJ40"/>
    <mergeCell ref="Z41:AB41"/>
    <mergeCell ref="AC41:AJ41"/>
    <mergeCell ref="Z42:AB42"/>
    <mergeCell ref="AC42:AJ42"/>
    <mergeCell ref="Z46:AB46"/>
    <mergeCell ref="Z47:AB47"/>
    <mergeCell ref="Z48:AB48"/>
    <mergeCell ref="Z49:AB49"/>
    <mergeCell ref="Z50:AB50"/>
    <mergeCell ref="AC47:AJ47"/>
    <mergeCell ref="AC48:AJ48"/>
    <mergeCell ref="AC49:AJ49"/>
    <mergeCell ref="AC50:AJ50"/>
    <mergeCell ref="Z43:AB43"/>
    <mergeCell ref="AC43:AJ43"/>
    <mergeCell ref="Z44:AB44"/>
    <mergeCell ref="AC44:AJ44"/>
    <mergeCell ref="Z45:AB45"/>
    <mergeCell ref="AC45:AJ45"/>
    <mergeCell ref="AC46:AJ46"/>
  </mergeCells>
  <printOptions/>
  <pageMargins bottom="0.75" footer="0.0" header="0.0" left="0.7" right="0.7" top="0.75"/>
  <pageSetup paperSize="9" orientation="portrait"/>
  <drawing r:id="rId1"/>
</worksheet>
</file>